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evanmack/Downloads/"/>
    </mc:Choice>
  </mc:AlternateContent>
  <xr:revisionPtr revIDLastSave="0" documentId="8_{34E86B12-2329-6642-873A-1EC4EF976749}" xr6:coauthVersionLast="47" xr6:coauthVersionMax="47" xr10:uidLastSave="{00000000-0000-0000-0000-000000000000}"/>
  <bookViews>
    <workbookView xWindow="0" yWindow="660" windowWidth="34560" windowHeight="20420" firstSheet="3" activeTab="18" xr2:uid="{00000000-000D-0000-FFFF-FFFF00000000}"/>
  </bookViews>
  <sheets>
    <sheet name="Production" sheetId="1" r:id="rId1"/>
    <sheet name="Targets" sheetId="2" r:id="rId2"/>
    <sheet name="Alaska Report" sheetId="3" r:id="rId3"/>
    <sheet name="Alaska Base" sheetId="4" r:id="rId4"/>
    <sheet name="EIA_AEO" sheetId="5" r:id="rId5"/>
    <sheet name="EPA_SAF" sheetId="6" r:id="rId6"/>
    <sheet name="EPA_SAF_PIV" sheetId="7" r:id="rId7"/>
    <sheet name="Inputs" sheetId="8" r:id="rId8"/>
    <sheet name="Model" sheetId="9" r:id="rId9"/>
    <sheet name="Outputs" sheetId="10" r:id="rId10"/>
    <sheet name="Dashboard" sheetId="11" r:id="rId11"/>
    <sheet name="SAF Supply" sheetId="12" r:id="rId12"/>
    <sheet name="Capital Allocation" sheetId="13" r:id="rId13"/>
    <sheet name="FAA Forecast" sheetId="14" r:id="rId14"/>
    <sheet name="Carbon Markets" sheetId="15" r:id="rId15"/>
    <sheet name="Data Map" sheetId="16" r:id="rId16"/>
    <sheet name="Decisions" sheetId="17" r:id="rId17"/>
    <sheet name="Unused Data" sheetId="18" r:id="rId18"/>
    <sheet name="App Spec" sheetId="19" r:id="rId1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9" l="1" a="1"/>
  <c r="I4" i="9" a="1"/>
  <c r="I5" i="9" a="1"/>
  <c r="I6" i="9" a="1"/>
  <c r="I7" i="9" a="1"/>
  <c r="I8" i="9" a="1"/>
  <c r="I9" i="9" a="1"/>
  <c r="I10" i="9" a="1"/>
  <c r="I11" i="9" a="1"/>
  <c r="I12" i="9" a="1"/>
  <c r="I13" i="9" a="1"/>
  <c r="I14" i="9" a="1"/>
  <c r="I15" i="9" a="1"/>
  <c r="I16" i="9" a="1"/>
  <c r="I17" i="9" a="1"/>
  <c r="D22" i="17"/>
  <c r="D21" i="17"/>
  <c r="D20" i="17"/>
  <c r="D19" i="17"/>
  <c r="D18" i="17"/>
  <c r="D17" i="17"/>
  <c r="L9" i="15"/>
  <c r="K9" i="15"/>
  <c r="M9" i="15" s="1"/>
  <c r="B9" i="15"/>
  <c r="L8" i="15"/>
  <c r="K8" i="15"/>
  <c r="M8" i="15" s="1"/>
  <c r="L7" i="15"/>
  <c r="K7" i="15"/>
  <c r="M7" i="15" s="1"/>
  <c r="L6" i="15"/>
  <c r="K6" i="15"/>
  <c r="M6" i="15" s="1"/>
  <c r="L5" i="15"/>
  <c r="K5" i="15"/>
  <c r="M5" i="15" s="1"/>
  <c r="L4" i="15"/>
  <c r="K4" i="15"/>
  <c r="M4" i="15" s="1"/>
  <c r="E19" i="14"/>
  <c r="D19" i="14"/>
  <c r="F19" i="14" s="1"/>
  <c r="B19" i="14"/>
  <c r="C19" i="14" s="1"/>
  <c r="C17" i="9" s="1"/>
  <c r="E18" i="14"/>
  <c r="D18" i="14"/>
  <c r="F18" i="14" s="1"/>
  <c r="B18" i="14"/>
  <c r="C18" i="14" s="1"/>
  <c r="C16" i="9" s="1"/>
  <c r="E17" i="14"/>
  <c r="D17" i="14"/>
  <c r="F17" i="14" s="1"/>
  <c r="B17" i="14"/>
  <c r="C17" i="14" s="1"/>
  <c r="C15" i="9" s="1"/>
  <c r="E16" i="14"/>
  <c r="D16" i="14"/>
  <c r="F16" i="14" s="1"/>
  <c r="B16" i="14"/>
  <c r="C16" i="14" s="1"/>
  <c r="C14" i="9" s="1"/>
  <c r="E15" i="14"/>
  <c r="D15" i="14"/>
  <c r="F15" i="14" s="1"/>
  <c r="B15" i="14"/>
  <c r="C15" i="14" s="1"/>
  <c r="C13" i="9" s="1"/>
  <c r="E14" i="14"/>
  <c r="D14" i="14"/>
  <c r="F14" i="14" s="1"/>
  <c r="B14" i="14"/>
  <c r="E13" i="14"/>
  <c r="D13" i="14"/>
  <c r="F13" i="14" s="1"/>
  <c r="B13" i="14"/>
  <c r="C13" i="14" s="1"/>
  <c r="C11" i="9" s="1"/>
  <c r="E12" i="14"/>
  <c r="D12" i="14"/>
  <c r="F12" i="14" s="1"/>
  <c r="B12" i="14"/>
  <c r="C12" i="14" s="1"/>
  <c r="C10" i="9" s="1"/>
  <c r="E11" i="14"/>
  <c r="D11" i="14"/>
  <c r="F11" i="14" s="1"/>
  <c r="B11" i="14"/>
  <c r="C11" i="14" s="1"/>
  <c r="C9" i="9" s="1"/>
  <c r="E10" i="14"/>
  <c r="D10" i="14"/>
  <c r="F10" i="14" s="1"/>
  <c r="B10" i="14"/>
  <c r="C10" i="14" s="1"/>
  <c r="C8" i="9" s="1"/>
  <c r="E9" i="14"/>
  <c r="D9" i="14"/>
  <c r="F9" i="14" s="1"/>
  <c r="B9" i="14"/>
  <c r="C9" i="14" s="1"/>
  <c r="C7" i="9" s="1"/>
  <c r="E8" i="14"/>
  <c r="D8" i="14"/>
  <c r="F8" i="14" s="1"/>
  <c r="B8" i="14"/>
  <c r="C8" i="14" s="1"/>
  <c r="C6" i="9" s="1"/>
  <c r="E7" i="14"/>
  <c r="D7" i="14"/>
  <c r="F7" i="14" s="1"/>
  <c r="B7" i="14"/>
  <c r="C7" i="14" s="1"/>
  <c r="C5" i="9" s="1"/>
  <c r="E6" i="14"/>
  <c r="D6" i="14"/>
  <c r="F6" i="14" s="1"/>
  <c r="B6" i="14"/>
  <c r="C6" i="14" s="1"/>
  <c r="C4" i="9" s="1"/>
  <c r="E5" i="14"/>
  <c r="D5" i="14"/>
  <c r="F5" i="14" s="1"/>
  <c r="B5" i="14"/>
  <c r="C5" i="14" s="1"/>
  <c r="C3" i="9" s="1"/>
  <c r="E4" i="14"/>
  <c r="D4" i="14"/>
  <c r="F4" i="14" s="1"/>
  <c r="B4" i="14"/>
  <c r="C11" i="13"/>
  <c r="H9" i="13"/>
  <c r="C9" i="13"/>
  <c r="H8" i="13"/>
  <c r="C8" i="13"/>
  <c r="H7" i="13"/>
  <c r="C7" i="13"/>
  <c r="H6" i="13"/>
  <c r="C6" i="13"/>
  <c r="H5" i="13"/>
  <c r="C5" i="13"/>
  <c r="H4" i="13"/>
  <c r="C4" i="13"/>
  <c r="F26" i="12"/>
  <c r="E26" i="12"/>
  <c r="D26" i="12"/>
  <c r="G26" i="12" s="1"/>
  <c r="C26" i="12"/>
  <c r="B26" i="12"/>
  <c r="F25" i="12"/>
  <c r="E25" i="12"/>
  <c r="D25" i="12"/>
  <c r="G25" i="12" s="1"/>
  <c r="C25" i="12"/>
  <c r="B25" i="12"/>
  <c r="F24" i="12"/>
  <c r="E24" i="12"/>
  <c r="D24" i="12"/>
  <c r="G24" i="12" s="1"/>
  <c r="C24" i="12"/>
  <c r="B24" i="12"/>
  <c r="F23" i="12"/>
  <c r="E23" i="12"/>
  <c r="D23" i="12"/>
  <c r="G23" i="12" s="1"/>
  <c r="C23" i="12"/>
  <c r="B23" i="12"/>
  <c r="F22" i="12"/>
  <c r="E22" i="12"/>
  <c r="D22" i="12"/>
  <c r="G22" i="12" s="1"/>
  <c r="C22" i="12"/>
  <c r="B22" i="12"/>
  <c r="F21" i="12"/>
  <c r="D21" i="12"/>
  <c r="G21" i="12" s="1"/>
  <c r="C21" i="12"/>
  <c r="B21" i="12"/>
  <c r="F20" i="12"/>
  <c r="D20" i="12"/>
  <c r="G20" i="12" s="1"/>
  <c r="C20" i="12"/>
  <c r="B20" i="12"/>
  <c r="F19" i="12"/>
  <c r="D19" i="12"/>
  <c r="G19" i="12" s="1"/>
  <c r="C19" i="12"/>
  <c r="B19" i="12"/>
  <c r="F18" i="12"/>
  <c r="D18" i="12"/>
  <c r="G18" i="12" s="1"/>
  <c r="C18" i="12"/>
  <c r="B18" i="12"/>
  <c r="F17" i="12"/>
  <c r="D17" i="12"/>
  <c r="G17" i="12" s="1"/>
  <c r="C17" i="12"/>
  <c r="B17" i="12"/>
  <c r="F16" i="12"/>
  <c r="C16" i="12"/>
  <c r="B16" i="12"/>
  <c r="F15" i="12"/>
  <c r="C15" i="12"/>
  <c r="B15" i="12"/>
  <c r="F14" i="12"/>
  <c r="C14" i="12"/>
  <c r="B14" i="12"/>
  <c r="J13" i="12"/>
  <c r="F13" i="12"/>
  <c r="C13" i="12"/>
  <c r="B13" i="12"/>
  <c r="J12" i="12"/>
  <c r="F12" i="12"/>
  <c r="C12" i="12"/>
  <c r="B12" i="12"/>
  <c r="J11" i="12"/>
  <c r="F11" i="12"/>
  <c r="C11" i="12"/>
  <c r="N10" i="12"/>
  <c r="M10" i="12"/>
  <c r="J10" i="12"/>
  <c r="H10" i="12"/>
  <c r="I10" i="12" s="1"/>
  <c r="F10" i="12"/>
  <c r="E10" i="12"/>
  <c r="D10" i="12"/>
  <c r="G10" i="12" s="1"/>
  <c r="C10" i="12"/>
  <c r="N9" i="12"/>
  <c r="M9" i="12"/>
  <c r="J9" i="12"/>
  <c r="H9" i="12"/>
  <c r="I9" i="12" s="1"/>
  <c r="F9" i="12"/>
  <c r="E9" i="12"/>
  <c r="D9" i="12"/>
  <c r="G9" i="12" s="1"/>
  <c r="C9" i="12"/>
  <c r="N8" i="12"/>
  <c r="M8" i="12"/>
  <c r="J8" i="12"/>
  <c r="H8" i="12"/>
  <c r="I8" i="12" s="1"/>
  <c r="F8" i="12"/>
  <c r="E8" i="12"/>
  <c r="D8" i="12"/>
  <c r="G8" i="12" s="1"/>
  <c r="C8" i="12"/>
  <c r="N7" i="12"/>
  <c r="M7" i="12"/>
  <c r="J7" i="12"/>
  <c r="H7" i="12"/>
  <c r="I7" i="12" s="1"/>
  <c r="F7" i="12"/>
  <c r="E7" i="12"/>
  <c r="D7" i="12"/>
  <c r="G7" i="12" s="1"/>
  <c r="C7" i="12"/>
  <c r="N6" i="12"/>
  <c r="M6" i="12"/>
  <c r="J6" i="12"/>
  <c r="H6" i="12"/>
  <c r="I6" i="12" s="1"/>
  <c r="F6" i="12"/>
  <c r="E6" i="12"/>
  <c r="D6" i="12"/>
  <c r="G6" i="12" s="1"/>
  <c r="C6" i="12"/>
  <c r="N5" i="12"/>
  <c r="M5" i="12"/>
  <c r="J5" i="12"/>
  <c r="H5" i="12"/>
  <c r="I5" i="12" s="1"/>
  <c r="F5" i="12"/>
  <c r="E5" i="12"/>
  <c r="D5" i="12"/>
  <c r="G5" i="12" s="1"/>
  <c r="C5" i="12"/>
  <c r="N4" i="12"/>
  <c r="M4" i="12"/>
  <c r="J4" i="12"/>
  <c r="H4" i="12"/>
  <c r="I4" i="12" s="1"/>
  <c r="F4" i="12"/>
  <c r="E4" i="12"/>
  <c r="D4" i="12"/>
  <c r="G4" i="12" s="1"/>
  <c r="C4" i="12"/>
  <c r="X18" i="11"/>
  <c r="W18" i="11"/>
  <c r="V18" i="11"/>
  <c r="S18" i="11"/>
  <c r="R18" i="11"/>
  <c r="P18" i="11"/>
  <c r="X17" i="11"/>
  <c r="W17" i="11"/>
  <c r="V17" i="11"/>
  <c r="S17" i="11"/>
  <c r="R17" i="11"/>
  <c r="P17" i="11"/>
  <c r="X16" i="11"/>
  <c r="W16" i="11"/>
  <c r="V16" i="11"/>
  <c r="S16" i="11"/>
  <c r="R16" i="11"/>
  <c r="P16" i="11"/>
  <c r="X15" i="11"/>
  <c r="W15" i="11"/>
  <c r="V15" i="11"/>
  <c r="S15" i="11"/>
  <c r="R15" i="11"/>
  <c r="P15" i="11"/>
  <c r="X14" i="11"/>
  <c r="W14" i="11"/>
  <c r="V14" i="11"/>
  <c r="S14" i="11"/>
  <c r="R14" i="11"/>
  <c r="P14" i="11"/>
  <c r="W13" i="11"/>
  <c r="V13" i="11"/>
  <c r="S13" i="11"/>
  <c r="R13" i="11"/>
  <c r="P13" i="11"/>
  <c r="W12" i="11"/>
  <c r="V12" i="11"/>
  <c r="S12" i="11"/>
  <c r="R12" i="11"/>
  <c r="P12" i="11"/>
  <c r="W11" i="11"/>
  <c r="V11" i="11"/>
  <c r="S11" i="11"/>
  <c r="R11" i="11"/>
  <c r="P11" i="11"/>
  <c r="G11" i="11"/>
  <c r="W10" i="11"/>
  <c r="V10" i="11"/>
  <c r="S10" i="11"/>
  <c r="R10" i="11"/>
  <c r="P10" i="11"/>
  <c r="L10" i="11"/>
  <c r="W9" i="11"/>
  <c r="V9" i="11"/>
  <c r="S9" i="11"/>
  <c r="R9" i="11"/>
  <c r="P9" i="11"/>
  <c r="V8" i="11"/>
  <c r="S8" i="11"/>
  <c r="R8" i="11"/>
  <c r="P8" i="11"/>
  <c r="L8" i="11"/>
  <c r="V7" i="11"/>
  <c r="S7" i="11"/>
  <c r="R7" i="11"/>
  <c r="P7" i="11"/>
  <c r="G7" i="11"/>
  <c r="V6" i="11"/>
  <c r="S6" i="11"/>
  <c r="R6" i="11"/>
  <c r="P6" i="11"/>
  <c r="AF5" i="11"/>
  <c r="V5" i="11"/>
  <c r="S5" i="11"/>
  <c r="R5" i="11"/>
  <c r="P5" i="11"/>
  <c r="G5" i="11"/>
  <c r="V4" i="11"/>
  <c r="S4" i="11"/>
  <c r="R4" i="11"/>
  <c r="P4" i="11"/>
  <c r="V3" i="11"/>
  <c r="S3" i="11"/>
  <c r="R3" i="11"/>
  <c r="P3" i="11"/>
  <c r="B39" i="10"/>
  <c r="B16" i="11" s="1"/>
  <c r="B36" i="10"/>
  <c r="B10" i="10"/>
  <c r="B7" i="10"/>
  <c r="AM17" i="9"/>
  <c r="B46" i="10" s="1"/>
  <c r="G14" i="11" s="1"/>
  <c r="AH17" i="9"/>
  <c r="J17" i="9"/>
  <c r="B37" i="10" s="1"/>
  <c r="B14" i="11" s="1"/>
  <c r="E17" i="9"/>
  <c r="AN16" i="9"/>
  <c r="AM16" i="9"/>
  <c r="AH16" i="9"/>
  <c r="J16" i="9"/>
  <c r="E16" i="9"/>
  <c r="F16" i="9" s="1"/>
  <c r="AN15" i="9"/>
  <c r="AM15" i="9"/>
  <c r="AH15" i="9"/>
  <c r="J15" i="9"/>
  <c r="E15" i="9"/>
  <c r="F15" i="9" s="1"/>
  <c r="AN14" i="9"/>
  <c r="AM14" i="9"/>
  <c r="AH14" i="9"/>
  <c r="J14" i="9"/>
  <c r="E14" i="9"/>
  <c r="F14" i="9" s="1"/>
  <c r="AN13" i="9"/>
  <c r="AM13" i="9"/>
  <c r="AH13" i="9"/>
  <c r="J13" i="9"/>
  <c r="E13" i="9"/>
  <c r="F13" i="9" s="1"/>
  <c r="AN12" i="9"/>
  <c r="AM12" i="9"/>
  <c r="AH12" i="9"/>
  <c r="J12" i="9"/>
  <c r="E12" i="9"/>
  <c r="F12" i="9" s="1"/>
  <c r="AN11" i="9"/>
  <c r="AM11" i="9"/>
  <c r="AH11" i="9"/>
  <c r="J11" i="9"/>
  <c r="E11" i="9"/>
  <c r="F11" i="9" s="1"/>
  <c r="AN10" i="9"/>
  <c r="AM10" i="9"/>
  <c r="AH10" i="9"/>
  <c r="J10" i="9"/>
  <c r="E10" i="9"/>
  <c r="F10" i="9" s="1"/>
  <c r="AN9" i="9"/>
  <c r="AM9" i="9"/>
  <c r="AH9" i="9"/>
  <c r="J9" i="9"/>
  <c r="E9" i="9"/>
  <c r="F9" i="9" s="1"/>
  <c r="AN8" i="9"/>
  <c r="AM8" i="9"/>
  <c r="AH8" i="9"/>
  <c r="J8" i="9"/>
  <c r="E8" i="9"/>
  <c r="F8" i="9" s="1"/>
  <c r="AN7" i="9"/>
  <c r="AM7" i="9"/>
  <c r="AH7" i="9"/>
  <c r="AE7" i="9"/>
  <c r="AD7" i="9"/>
  <c r="E7" i="9"/>
  <c r="F7" i="9" s="1"/>
  <c r="B6" i="10" s="1"/>
  <c r="AN6" i="9"/>
  <c r="AM6" i="9"/>
  <c r="AH6" i="9"/>
  <c r="E6" i="9"/>
  <c r="F6" i="9" s="1"/>
  <c r="AN5" i="9"/>
  <c r="AM5" i="9"/>
  <c r="AH5" i="9"/>
  <c r="E5" i="9"/>
  <c r="F5" i="9" s="1"/>
  <c r="AN4" i="9"/>
  <c r="AM4" i="9"/>
  <c r="AH4" i="9"/>
  <c r="E4" i="9"/>
  <c r="F4" i="9" s="1"/>
  <c r="AN3" i="9"/>
  <c r="AM3" i="9"/>
  <c r="AH3" i="9"/>
  <c r="E3" i="9"/>
  <c r="F3" i="9" s="1"/>
  <c r="AN2" i="9"/>
  <c r="AM2" i="9"/>
  <c r="B2" i="9"/>
  <c r="I2160" i="6"/>
  <c r="H2160" i="6"/>
  <c r="I2159" i="6"/>
  <c r="H2159" i="6"/>
  <c r="I2158" i="6"/>
  <c r="H2158" i="6"/>
  <c r="I2157" i="6"/>
  <c r="H2157" i="6"/>
  <c r="I2156" i="6"/>
  <c r="H2156" i="6"/>
  <c r="I2155" i="6"/>
  <c r="H2155" i="6"/>
  <c r="I2154" i="6"/>
  <c r="H2154" i="6"/>
  <c r="I2153" i="6"/>
  <c r="H2153" i="6"/>
  <c r="I2152" i="6"/>
  <c r="H2152" i="6"/>
  <c r="I2151" i="6"/>
  <c r="H2151" i="6"/>
  <c r="I2150" i="6"/>
  <c r="H2150" i="6"/>
  <c r="I2149" i="6"/>
  <c r="H2149" i="6"/>
  <c r="I2148" i="6"/>
  <c r="H2148" i="6"/>
  <c r="I2147" i="6"/>
  <c r="H2147" i="6"/>
  <c r="I2146" i="6"/>
  <c r="H2146" i="6"/>
  <c r="I2145" i="6"/>
  <c r="H2145" i="6"/>
  <c r="I2144" i="6"/>
  <c r="H2144" i="6"/>
  <c r="I2143" i="6"/>
  <c r="H2143" i="6"/>
  <c r="I2142" i="6"/>
  <c r="H2142" i="6"/>
  <c r="I2141" i="6"/>
  <c r="H2141" i="6"/>
  <c r="I2140" i="6"/>
  <c r="H2140" i="6"/>
  <c r="I2139" i="6"/>
  <c r="H2139" i="6"/>
  <c r="I2138" i="6"/>
  <c r="H2138" i="6"/>
  <c r="I2137" i="6"/>
  <c r="H2137" i="6"/>
  <c r="I2136" i="6"/>
  <c r="H2136" i="6"/>
  <c r="I2135" i="6"/>
  <c r="H2135" i="6"/>
  <c r="I2134" i="6"/>
  <c r="H2134" i="6"/>
  <c r="I2133" i="6"/>
  <c r="H2133" i="6"/>
  <c r="I2132" i="6"/>
  <c r="H2132" i="6"/>
  <c r="I2131" i="6"/>
  <c r="H2131" i="6"/>
  <c r="I2130" i="6"/>
  <c r="H2130" i="6"/>
  <c r="I2129" i="6"/>
  <c r="H2129" i="6"/>
  <c r="I2128" i="6"/>
  <c r="H2128" i="6"/>
  <c r="I2127" i="6"/>
  <c r="H2127" i="6"/>
  <c r="I2126" i="6"/>
  <c r="H2126" i="6"/>
  <c r="I2125" i="6"/>
  <c r="H2125" i="6"/>
  <c r="I2124" i="6"/>
  <c r="H2124" i="6"/>
  <c r="I2123" i="6"/>
  <c r="H2123" i="6"/>
  <c r="I2122" i="6"/>
  <c r="H2122" i="6"/>
  <c r="I2121" i="6"/>
  <c r="H2121" i="6"/>
  <c r="I2120" i="6"/>
  <c r="H2120" i="6"/>
  <c r="I2119" i="6"/>
  <c r="H2119" i="6"/>
  <c r="I2118" i="6"/>
  <c r="H2118" i="6"/>
  <c r="I2117" i="6"/>
  <c r="H2117" i="6"/>
  <c r="I2116" i="6"/>
  <c r="H2116" i="6"/>
  <c r="I2115" i="6"/>
  <c r="H2115" i="6"/>
  <c r="I2114" i="6"/>
  <c r="H2114" i="6"/>
  <c r="I2113" i="6"/>
  <c r="H2113" i="6"/>
  <c r="I2112" i="6"/>
  <c r="H2112" i="6"/>
  <c r="I2111" i="6"/>
  <c r="H2111" i="6"/>
  <c r="I2110" i="6"/>
  <c r="H2110" i="6"/>
  <c r="I2109" i="6"/>
  <c r="H2109" i="6"/>
  <c r="I2108" i="6"/>
  <c r="H2108" i="6"/>
  <c r="I2107" i="6"/>
  <c r="H2107" i="6"/>
  <c r="I2106" i="6"/>
  <c r="H2106" i="6"/>
  <c r="I2105" i="6"/>
  <c r="H2105" i="6"/>
  <c r="I2104" i="6"/>
  <c r="H2104" i="6"/>
  <c r="I2103" i="6"/>
  <c r="H2103" i="6"/>
  <c r="I2102" i="6"/>
  <c r="H2102" i="6"/>
  <c r="I2101" i="6"/>
  <c r="H2101" i="6"/>
  <c r="I2100" i="6"/>
  <c r="H2100" i="6"/>
  <c r="I2099" i="6"/>
  <c r="H2099" i="6"/>
  <c r="I2098" i="6"/>
  <c r="H2098" i="6"/>
  <c r="I2097" i="6"/>
  <c r="H2097" i="6"/>
  <c r="I2096" i="6"/>
  <c r="H2096" i="6"/>
  <c r="I2095" i="6"/>
  <c r="H2095" i="6"/>
  <c r="I2094" i="6"/>
  <c r="H2094" i="6"/>
  <c r="I2093" i="6"/>
  <c r="H2093" i="6"/>
  <c r="I2092" i="6"/>
  <c r="H2092" i="6"/>
  <c r="I2091" i="6"/>
  <c r="H2091" i="6"/>
  <c r="I2090" i="6"/>
  <c r="H2090" i="6"/>
  <c r="I2089" i="6"/>
  <c r="H2089" i="6"/>
  <c r="I2088" i="6"/>
  <c r="H2088" i="6"/>
  <c r="I2087" i="6"/>
  <c r="H2087" i="6"/>
  <c r="I2086" i="6"/>
  <c r="H2086" i="6"/>
  <c r="I2085" i="6"/>
  <c r="H2085" i="6"/>
  <c r="I2084" i="6"/>
  <c r="H2084" i="6"/>
  <c r="I2083" i="6"/>
  <c r="H2083" i="6"/>
  <c r="I2082" i="6"/>
  <c r="H2082" i="6"/>
  <c r="I2081" i="6"/>
  <c r="H2081" i="6"/>
  <c r="I2080" i="6"/>
  <c r="H2080" i="6"/>
  <c r="I2079" i="6"/>
  <c r="H2079" i="6"/>
  <c r="I2078" i="6"/>
  <c r="H2078" i="6"/>
  <c r="I2077" i="6"/>
  <c r="H2077" i="6"/>
  <c r="I2076" i="6"/>
  <c r="H2076" i="6"/>
  <c r="I2075" i="6"/>
  <c r="H2075" i="6"/>
  <c r="I2074" i="6"/>
  <c r="H2074" i="6"/>
  <c r="I2073" i="6"/>
  <c r="H2073" i="6"/>
  <c r="I2072" i="6"/>
  <c r="H2072" i="6"/>
  <c r="I2071" i="6"/>
  <c r="H2071" i="6"/>
  <c r="I2070" i="6"/>
  <c r="H2070" i="6"/>
  <c r="I2069" i="6"/>
  <c r="H2069" i="6"/>
  <c r="I2068" i="6"/>
  <c r="H2068" i="6"/>
  <c r="I2067" i="6"/>
  <c r="H2067" i="6"/>
  <c r="I2066" i="6"/>
  <c r="H2066" i="6"/>
  <c r="I2065" i="6"/>
  <c r="H2065" i="6"/>
  <c r="I2064" i="6"/>
  <c r="H2064" i="6"/>
  <c r="I2063" i="6"/>
  <c r="H2063" i="6"/>
  <c r="I2062" i="6"/>
  <c r="H2062" i="6"/>
  <c r="I2061" i="6"/>
  <c r="H2061" i="6"/>
  <c r="I2060" i="6"/>
  <c r="H2060" i="6"/>
  <c r="I2059" i="6"/>
  <c r="H2059" i="6"/>
  <c r="I2058" i="6"/>
  <c r="H2058" i="6"/>
  <c r="I2057" i="6"/>
  <c r="H2057" i="6"/>
  <c r="I2056" i="6"/>
  <c r="H2056" i="6"/>
  <c r="I2055" i="6"/>
  <c r="H2055" i="6"/>
  <c r="I2054" i="6"/>
  <c r="H2054" i="6"/>
  <c r="I2053" i="6"/>
  <c r="H2053" i="6"/>
  <c r="I2052" i="6"/>
  <c r="H2052" i="6"/>
  <c r="I2051" i="6"/>
  <c r="H2051" i="6"/>
  <c r="I2050" i="6"/>
  <c r="H2050" i="6"/>
  <c r="I2049" i="6"/>
  <c r="H2049" i="6"/>
  <c r="I2048" i="6"/>
  <c r="H2048" i="6"/>
  <c r="I2047" i="6"/>
  <c r="H2047" i="6"/>
  <c r="I2046" i="6"/>
  <c r="H2046" i="6"/>
  <c r="I2045" i="6"/>
  <c r="H2045" i="6"/>
  <c r="I2044" i="6"/>
  <c r="H2044" i="6"/>
  <c r="I2043" i="6"/>
  <c r="H2043" i="6"/>
  <c r="I2042" i="6"/>
  <c r="H2042" i="6"/>
  <c r="I2041" i="6"/>
  <c r="H2041" i="6"/>
  <c r="I2040" i="6"/>
  <c r="H2040" i="6"/>
  <c r="I2039" i="6"/>
  <c r="H2039" i="6"/>
  <c r="I2038" i="6"/>
  <c r="H2038" i="6"/>
  <c r="I2037" i="6"/>
  <c r="H2037" i="6"/>
  <c r="I2036" i="6"/>
  <c r="H2036" i="6"/>
  <c r="I2035" i="6"/>
  <c r="H2035" i="6"/>
  <c r="I2034" i="6"/>
  <c r="H2034" i="6"/>
  <c r="I2033" i="6"/>
  <c r="H2033" i="6"/>
  <c r="I2032" i="6"/>
  <c r="H2032" i="6"/>
  <c r="I2031" i="6"/>
  <c r="H2031" i="6"/>
  <c r="I2030" i="6"/>
  <c r="H2030" i="6"/>
  <c r="I2029" i="6"/>
  <c r="H2029" i="6"/>
  <c r="I2028" i="6"/>
  <c r="H2028" i="6"/>
  <c r="I2027" i="6"/>
  <c r="H2027" i="6"/>
  <c r="I2026" i="6"/>
  <c r="H2026" i="6"/>
  <c r="I2025" i="6"/>
  <c r="H2025" i="6"/>
  <c r="I2024" i="6"/>
  <c r="H2024" i="6"/>
  <c r="I2023" i="6"/>
  <c r="H2023" i="6"/>
  <c r="I2022" i="6"/>
  <c r="H2022" i="6"/>
  <c r="I2021" i="6"/>
  <c r="H2021" i="6"/>
  <c r="I2020" i="6"/>
  <c r="H2020" i="6"/>
  <c r="I2019" i="6"/>
  <c r="H2019" i="6"/>
  <c r="I2018" i="6"/>
  <c r="H2018" i="6"/>
  <c r="I2017" i="6"/>
  <c r="H2017" i="6"/>
  <c r="I2016" i="6"/>
  <c r="H2016" i="6"/>
  <c r="I2015" i="6"/>
  <c r="H2015" i="6"/>
  <c r="I2014" i="6"/>
  <c r="H2014" i="6"/>
  <c r="I2013" i="6"/>
  <c r="H2013" i="6"/>
  <c r="I2012" i="6"/>
  <c r="H2012" i="6"/>
  <c r="I2011" i="6"/>
  <c r="H2011" i="6"/>
  <c r="I2010" i="6"/>
  <c r="H2010" i="6"/>
  <c r="I2009" i="6"/>
  <c r="H2009" i="6"/>
  <c r="I2008" i="6"/>
  <c r="H2008" i="6"/>
  <c r="I2007" i="6"/>
  <c r="H2007" i="6"/>
  <c r="I2006" i="6"/>
  <c r="H2006" i="6"/>
  <c r="I2005" i="6"/>
  <c r="H2005" i="6"/>
  <c r="I2004" i="6"/>
  <c r="H2004" i="6"/>
  <c r="I2003" i="6"/>
  <c r="H2003" i="6"/>
  <c r="I2002" i="6"/>
  <c r="H2002" i="6"/>
  <c r="I2001" i="6"/>
  <c r="H2001" i="6"/>
  <c r="I2000" i="6"/>
  <c r="H2000" i="6"/>
  <c r="I1999" i="6"/>
  <c r="H1999" i="6"/>
  <c r="I1998" i="6"/>
  <c r="H1998" i="6"/>
  <c r="I1997" i="6"/>
  <c r="H1997" i="6"/>
  <c r="I1996" i="6"/>
  <c r="H1996" i="6"/>
  <c r="I1995" i="6"/>
  <c r="H1995" i="6"/>
  <c r="I1994" i="6"/>
  <c r="H1994" i="6"/>
  <c r="I1993" i="6"/>
  <c r="H1993" i="6"/>
  <c r="I1992" i="6"/>
  <c r="H1992" i="6"/>
  <c r="I1991" i="6"/>
  <c r="H1991" i="6"/>
  <c r="I1990" i="6"/>
  <c r="H1990" i="6"/>
  <c r="I1989" i="6"/>
  <c r="H1989" i="6"/>
  <c r="I1988" i="6"/>
  <c r="H1988" i="6"/>
  <c r="I1987" i="6"/>
  <c r="H1987" i="6"/>
  <c r="I1986" i="6"/>
  <c r="H1986" i="6"/>
  <c r="I1985" i="6"/>
  <c r="H1985" i="6"/>
  <c r="I1984" i="6"/>
  <c r="H1984" i="6"/>
  <c r="I1983" i="6"/>
  <c r="H1983" i="6"/>
  <c r="I1982" i="6"/>
  <c r="H1982" i="6"/>
  <c r="I1981" i="6"/>
  <c r="H1981" i="6"/>
  <c r="I1980" i="6"/>
  <c r="H1980" i="6"/>
  <c r="I1979" i="6"/>
  <c r="H1979" i="6"/>
  <c r="I1978" i="6"/>
  <c r="H1978" i="6"/>
  <c r="I1977" i="6"/>
  <c r="H1977" i="6"/>
  <c r="I1976" i="6"/>
  <c r="H1976" i="6"/>
  <c r="I1975" i="6"/>
  <c r="H1975" i="6"/>
  <c r="I1974" i="6"/>
  <c r="H1974" i="6"/>
  <c r="I1973" i="6"/>
  <c r="H1973" i="6"/>
  <c r="I1972" i="6"/>
  <c r="H1972" i="6"/>
  <c r="I1971" i="6"/>
  <c r="H1971" i="6"/>
  <c r="I1970" i="6"/>
  <c r="H1970" i="6"/>
  <c r="I1969" i="6"/>
  <c r="H1969" i="6"/>
  <c r="I1968" i="6"/>
  <c r="H1968" i="6"/>
  <c r="I1967" i="6"/>
  <c r="H1967" i="6"/>
  <c r="I1966" i="6"/>
  <c r="H1966" i="6"/>
  <c r="I1965" i="6"/>
  <c r="H1965" i="6"/>
  <c r="I1964" i="6"/>
  <c r="H1964" i="6"/>
  <c r="I1963" i="6"/>
  <c r="H1963" i="6"/>
  <c r="I1962" i="6"/>
  <c r="H1962" i="6"/>
  <c r="I1961" i="6"/>
  <c r="H1961" i="6"/>
  <c r="I1960" i="6"/>
  <c r="H1960" i="6"/>
  <c r="I1959" i="6"/>
  <c r="H1959" i="6"/>
  <c r="I1958" i="6"/>
  <c r="H1958" i="6"/>
  <c r="I1957" i="6"/>
  <c r="H1957" i="6"/>
  <c r="I1956" i="6"/>
  <c r="H1956" i="6"/>
  <c r="I1955" i="6"/>
  <c r="H1955" i="6"/>
  <c r="I1954" i="6"/>
  <c r="H1954" i="6"/>
  <c r="I1953" i="6"/>
  <c r="H1953" i="6"/>
  <c r="I1952" i="6"/>
  <c r="H1952" i="6"/>
  <c r="I1951" i="6"/>
  <c r="H1951" i="6"/>
  <c r="I1950" i="6"/>
  <c r="H1950" i="6"/>
  <c r="I1949" i="6"/>
  <c r="H1949" i="6"/>
  <c r="I1948" i="6"/>
  <c r="H1948" i="6"/>
  <c r="I1947" i="6"/>
  <c r="H1947" i="6"/>
  <c r="I1946" i="6"/>
  <c r="H1946" i="6"/>
  <c r="I1945" i="6"/>
  <c r="H1945" i="6"/>
  <c r="I1944" i="6"/>
  <c r="H1944" i="6"/>
  <c r="I1943" i="6"/>
  <c r="H1943" i="6"/>
  <c r="I1942" i="6"/>
  <c r="H1942" i="6"/>
  <c r="I1941" i="6"/>
  <c r="H1941" i="6"/>
  <c r="I1940" i="6"/>
  <c r="H1940" i="6"/>
  <c r="I1939" i="6"/>
  <c r="H1939" i="6"/>
  <c r="I1938" i="6"/>
  <c r="H1938" i="6"/>
  <c r="I1937" i="6"/>
  <c r="H1937" i="6"/>
  <c r="I1936" i="6"/>
  <c r="H1936" i="6"/>
  <c r="I1935" i="6"/>
  <c r="H1935" i="6"/>
  <c r="I1934" i="6"/>
  <c r="H1934" i="6"/>
  <c r="I1933" i="6"/>
  <c r="H1933" i="6"/>
  <c r="I1932" i="6"/>
  <c r="H1932" i="6"/>
  <c r="I1931" i="6"/>
  <c r="H1931" i="6"/>
  <c r="I1930" i="6"/>
  <c r="H1930" i="6"/>
  <c r="I1929" i="6"/>
  <c r="H1929" i="6"/>
  <c r="B11" i="12" s="1"/>
  <c r="I1928" i="6"/>
  <c r="H1928" i="6"/>
  <c r="I1927" i="6"/>
  <c r="H1927" i="6"/>
  <c r="I1926" i="6"/>
  <c r="H1926" i="6"/>
  <c r="I1925" i="6"/>
  <c r="H1925" i="6"/>
  <c r="I1924" i="6"/>
  <c r="H1924" i="6"/>
  <c r="I1923" i="6"/>
  <c r="H1923" i="6"/>
  <c r="I1922" i="6"/>
  <c r="H1922" i="6"/>
  <c r="I1921" i="6"/>
  <c r="H1921" i="6"/>
  <c r="I1920" i="6"/>
  <c r="H1920" i="6"/>
  <c r="I1919" i="6"/>
  <c r="H1919" i="6"/>
  <c r="I1918" i="6"/>
  <c r="H1918" i="6"/>
  <c r="I1917" i="6"/>
  <c r="H1917" i="6"/>
  <c r="I1916" i="6"/>
  <c r="H1916" i="6"/>
  <c r="I1915" i="6"/>
  <c r="H1915" i="6"/>
  <c r="I1914" i="6"/>
  <c r="H1914" i="6"/>
  <c r="I1913" i="6"/>
  <c r="H1913" i="6"/>
  <c r="I1912" i="6"/>
  <c r="H1912" i="6"/>
  <c r="I1911" i="6"/>
  <c r="H1911" i="6"/>
  <c r="I1910" i="6"/>
  <c r="H1910" i="6"/>
  <c r="I1909" i="6"/>
  <c r="H1909" i="6"/>
  <c r="I1908" i="6"/>
  <c r="H1908" i="6"/>
  <c r="I1907" i="6"/>
  <c r="H1907" i="6"/>
  <c r="I1906" i="6"/>
  <c r="H1906" i="6"/>
  <c r="I1905" i="6"/>
  <c r="H1905" i="6"/>
  <c r="I1904" i="6"/>
  <c r="H1904" i="6"/>
  <c r="I1903" i="6"/>
  <c r="H1903" i="6"/>
  <c r="I1902" i="6"/>
  <c r="H1902" i="6"/>
  <c r="I1901" i="6"/>
  <c r="H1901" i="6"/>
  <c r="I1900" i="6"/>
  <c r="H1900" i="6"/>
  <c r="I1899" i="6"/>
  <c r="H1899" i="6"/>
  <c r="I1898" i="6"/>
  <c r="H1898" i="6"/>
  <c r="I1897" i="6"/>
  <c r="H1897" i="6"/>
  <c r="I1896" i="6"/>
  <c r="H1896" i="6"/>
  <c r="I1895" i="6"/>
  <c r="H1895" i="6"/>
  <c r="I1894" i="6"/>
  <c r="H1894" i="6"/>
  <c r="I1893" i="6"/>
  <c r="H1893" i="6"/>
  <c r="I1892" i="6"/>
  <c r="H1892" i="6"/>
  <c r="I1891" i="6"/>
  <c r="H1891" i="6"/>
  <c r="I1890" i="6"/>
  <c r="H1890" i="6"/>
  <c r="I1889" i="6"/>
  <c r="H1889" i="6"/>
  <c r="I1888" i="6"/>
  <c r="H1888" i="6"/>
  <c r="I1887" i="6"/>
  <c r="H1887" i="6"/>
  <c r="I1886" i="6"/>
  <c r="H1886" i="6"/>
  <c r="I1885" i="6"/>
  <c r="H1885" i="6"/>
  <c r="I1884" i="6"/>
  <c r="H1884" i="6"/>
  <c r="I1883" i="6"/>
  <c r="H1883" i="6"/>
  <c r="I1882" i="6"/>
  <c r="H1882" i="6"/>
  <c r="I1881" i="6"/>
  <c r="H1881" i="6"/>
  <c r="I1880" i="6"/>
  <c r="H1880" i="6"/>
  <c r="I1879" i="6"/>
  <c r="H1879" i="6"/>
  <c r="I1878" i="6"/>
  <c r="H1878" i="6"/>
  <c r="I1877" i="6"/>
  <c r="H1877" i="6"/>
  <c r="I1876" i="6"/>
  <c r="H1876" i="6"/>
  <c r="I1875" i="6"/>
  <c r="H1875" i="6"/>
  <c r="I1874" i="6"/>
  <c r="H1874" i="6"/>
  <c r="I1873" i="6"/>
  <c r="H1873" i="6"/>
  <c r="I1872" i="6"/>
  <c r="H1872" i="6"/>
  <c r="I1871" i="6"/>
  <c r="H1871" i="6"/>
  <c r="I1870" i="6"/>
  <c r="H1870" i="6"/>
  <c r="I1869" i="6"/>
  <c r="H1869" i="6"/>
  <c r="I1868" i="6"/>
  <c r="H1868" i="6"/>
  <c r="I1867" i="6"/>
  <c r="H1867" i="6"/>
  <c r="I1866" i="6"/>
  <c r="H1866" i="6"/>
  <c r="I1865" i="6"/>
  <c r="H1865" i="6"/>
  <c r="I1864" i="6"/>
  <c r="H1864" i="6"/>
  <c r="I1863" i="6"/>
  <c r="H1863" i="6"/>
  <c r="I1862" i="6"/>
  <c r="H1862" i="6"/>
  <c r="I1861" i="6"/>
  <c r="H1861" i="6"/>
  <c r="I1860" i="6"/>
  <c r="H1860" i="6"/>
  <c r="I1859" i="6"/>
  <c r="H1859" i="6"/>
  <c r="I1858" i="6"/>
  <c r="H1858" i="6"/>
  <c r="I1857" i="6"/>
  <c r="H1857" i="6"/>
  <c r="I1856" i="6"/>
  <c r="H1856" i="6"/>
  <c r="I1855" i="6"/>
  <c r="H1855" i="6"/>
  <c r="I1854" i="6"/>
  <c r="H1854" i="6"/>
  <c r="I1853" i="6"/>
  <c r="H1853" i="6"/>
  <c r="I1852" i="6"/>
  <c r="H1852" i="6"/>
  <c r="I1851" i="6"/>
  <c r="H1851" i="6"/>
  <c r="I1850" i="6"/>
  <c r="H1850" i="6"/>
  <c r="I1849" i="6"/>
  <c r="H1849" i="6"/>
  <c r="I1848" i="6"/>
  <c r="H1848" i="6"/>
  <c r="I1847" i="6"/>
  <c r="H1847" i="6"/>
  <c r="I1846" i="6"/>
  <c r="H1846" i="6"/>
  <c r="I1845" i="6"/>
  <c r="H1845" i="6"/>
  <c r="I1844" i="6"/>
  <c r="H1844" i="6"/>
  <c r="I1843" i="6"/>
  <c r="H1843" i="6"/>
  <c r="I1842" i="6"/>
  <c r="H1842" i="6"/>
  <c r="I1841" i="6"/>
  <c r="H1841" i="6"/>
  <c r="I1840" i="6"/>
  <c r="H1840" i="6"/>
  <c r="I1839" i="6"/>
  <c r="H1839" i="6"/>
  <c r="I1838" i="6"/>
  <c r="H1838" i="6"/>
  <c r="I1837" i="6"/>
  <c r="H1837" i="6"/>
  <c r="I1836" i="6"/>
  <c r="H1836" i="6"/>
  <c r="I1835" i="6"/>
  <c r="H1835" i="6"/>
  <c r="I1834" i="6"/>
  <c r="H1834" i="6"/>
  <c r="I1833" i="6"/>
  <c r="H1833" i="6"/>
  <c r="I1832" i="6"/>
  <c r="H1832" i="6"/>
  <c r="I1831" i="6"/>
  <c r="H1831" i="6"/>
  <c r="I1830" i="6"/>
  <c r="H1830" i="6"/>
  <c r="I1829" i="6"/>
  <c r="H1829" i="6"/>
  <c r="I1828" i="6"/>
  <c r="H1828" i="6"/>
  <c r="I1827" i="6"/>
  <c r="H1827" i="6"/>
  <c r="I1826" i="6"/>
  <c r="H1826" i="6"/>
  <c r="I1825" i="6"/>
  <c r="H1825" i="6"/>
  <c r="I1824" i="6"/>
  <c r="H1824" i="6"/>
  <c r="I1823" i="6"/>
  <c r="H1823" i="6"/>
  <c r="I1822" i="6"/>
  <c r="H1822" i="6"/>
  <c r="I1821" i="6"/>
  <c r="H1821" i="6"/>
  <c r="I1820" i="6"/>
  <c r="H1820" i="6"/>
  <c r="I1819" i="6"/>
  <c r="H1819" i="6"/>
  <c r="I1818" i="6"/>
  <c r="H1818" i="6"/>
  <c r="I1817" i="6"/>
  <c r="H1817" i="6"/>
  <c r="I1816" i="6"/>
  <c r="H1816" i="6"/>
  <c r="I1815" i="6"/>
  <c r="H1815" i="6"/>
  <c r="I1814" i="6"/>
  <c r="H1814" i="6"/>
  <c r="I1813" i="6"/>
  <c r="H1813" i="6"/>
  <c r="I1812" i="6"/>
  <c r="H1812" i="6"/>
  <c r="I1811" i="6"/>
  <c r="H1811" i="6"/>
  <c r="I1810" i="6"/>
  <c r="H1810" i="6"/>
  <c r="I1809" i="6"/>
  <c r="H1809" i="6"/>
  <c r="I1808" i="6"/>
  <c r="H1808" i="6"/>
  <c r="I1807" i="6"/>
  <c r="H1807" i="6"/>
  <c r="I1806" i="6"/>
  <c r="H1806" i="6"/>
  <c r="I1805" i="6"/>
  <c r="H1805" i="6"/>
  <c r="I1804" i="6"/>
  <c r="H1804" i="6"/>
  <c r="I1803" i="6"/>
  <c r="H1803" i="6"/>
  <c r="I1802" i="6"/>
  <c r="H1802" i="6"/>
  <c r="I1801" i="6"/>
  <c r="H1801" i="6"/>
  <c r="I1800" i="6"/>
  <c r="H1800" i="6"/>
  <c r="I1799" i="6"/>
  <c r="H1799" i="6"/>
  <c r="I1798" i="6"/>
  <c r="H1798" i="6"/>
  <c r="I1797" i="6"/>
  <c r="H1797" i="6"/>
  <c r="I1796" i="6"/>
  <c r="H1796" i="6"/>
  <c r="I1795" i="6"/>
  <c r="H1795" i="6"/>
  <c r="I1794" i="6"/>
  <c r="H1794" i="6"/>
  <c r="I1793" i="6"/>
  <c r="H1793" i="6"/>
  <c r="I1792" i="6"/>
  <c r="H1792" i="6"/>
  <c r="I1791" i="6"/>
  <c r="H1791" i="6"/>
  <c r="I1790" i="6"/>
  <c r="H1790" i="6"/>
  <c r="I1789" i="6"/>
  <c r="H1789" i="6"/>
  <c r="I1788" i="6"/>
  <c r="H1788" i="6"/>
  <c r="I1787" i="6"/>
  <c r="H1787" i="6"/>
  <c r="I1786" i="6"/>
  <c r="H1786" i="6"/>
  <c r="I1785" i="6"/>
  <c r="H1785" i="6"/>
  <c r="I1784" i="6"/>
  <c r="H1784" i="6"/>
  <c r="I1783" i="6"/>
  <c r="H1783" i="6"/>
  <c r="I1782" i="6"/>
  <c r="H1782" i="6"/>
  <c r="I1781" i="6"/>
  <c r="H1781" i="6"/>
  <c r="I1780" i="6"/>
  <c r="H1780" i="6"/>
  <c r="I1779" i="6"/>
  <c r="H1779" i="6"/>
  <c r="I1778" i="6"/>
  <c r="H1778" i="6"/>
  <c r="I1777" i="6"/>
  <c r="H1777" i="6"/>
  <c r="I1776" i="6"/>
  <c r="H1776" i="6"/>
  <c r="I1775" i="6"/>
  <c r="H1775" i="6"/>
  <c r="I1774" i="6"/>
  <c r="H1774" i="6"/>
  <c r="I1773" i="6"/>
  <c r="H1773" i="6"/>
  <c r="I1772" i="6"/>
  <c r="H1772" i="6"/>
  <c r="I1771" i="6"/>
  <c r="H1771" i="6"/>
  <c r="I1770" i="6"/>
  <c r="H1770" i="6"/>
  <c r="I1769" i="6"/>
  <c r="H1769" i="6"/>
  <c r="I1768" i="6"/>
  <c r="H1768" i="6"/>
  <c r="I1767" i="6"/>
  <c r="H1767" i="6"/>
  <c r="I1766" i="6"/>
  <c r="H1766" i="6"/>
  <c r="I1765" i="6"/>
  <c r="H1765" i="6"/>
  <c r="I1764" i="6"/>
  <c r="H1764" i="6"/>
  <c r="I1763" i="6"/>
  <c r="H1763" i="6"/>
  <c r="I1762" i="6"/>
  <c r="H1762" i="6"/>
  <c r="I1761" i="6"/>
  <c r="H1761" i="6"/>
  <c r="I1760" i="6"/>
  <c r="H1760" i="6"/>
  <c r="I1759" i="6"/>
  <c r="H1759" i="6"/>
  <c r="I1758" i="6"/>
  <c r="H1758" i="6"/>
  <c r="I1757" i="6"/>
  <c r="H1757" i="6"/>
  <c r="I1756" i="6"/>
  <c r="H1756" i="6"/>
  <c r="I1755" i="6"/>
  <c r="H1755" i="6"/>
  <c r="I1754" i="6"/>
  <c r="H1754" i="6"/>
  <c r="I1753" i="6"/>
  <c r="H1753" i="6"/>
  <c r="I1752" i="6"/>
  <c r="H1752" i="6"/>
  <c r="I1751" i="6"/>
  <c r="H1751" i="6"/>
  <c r="I1750" i="6"/>
  <c r="H1750" i="6"/>
  <c r="I1749" i="6"/>
  <c r="H1749" i="6"/>
  <c r="I1748" i="6"/>
  <c r="H1748" i="6"/>
  <c r="I1747" i="6"/>
  <c r="H1747" i="6"/>
  <c r="I1746" i="6"/>
  <c r="H1746" i="6"/>
  <c r="I1745" i="6"/>
  <c r="H1745" i="6"/>
  <c r="I1744" i="6"/>
  <c r="H1744" i="6"/>
  <c r="I1743" i="6"/>
  <c r="H1743" i="6"/>
  <c r="I1742" i="6"/>
  <c r="H1742" i="6"/>
  <c r="I1741" i="6"/>
  <c r="H1741" i="6"/>
  <c r="I1740" i="6"/>
  <c r="H1740" i="6"/>
  <c r="I1739" i="6"/>
  <c r="H1739" i="6"/>
  <c r="I1738" i="6"/>
  <c r="H1738" i="6"/>
  <c r="I1737" i="6"/>
  <c r="H1737" i="6"/>
  <c r="I1736" i="6"/>
  <c r="H1736" i="6"/>
  <c r="I1735" i="6"/>
  <c r="H1735" i="6"/>
  <c r="I1734" i="6"/>
  <c r="H1734" i="6"/>
  <c r="I1733" i="6"/>
  <c r="H1733" i="6"/>
  <c r="I1732" i="6"/>
  <c r="H1732" i="6"/>
  <c r="I1731" i="6"/>
  <c r="H1731" i="6"/>
  <c r="I1730" i="6"/>
  <c r="H1730" i="6"/>
  <c r="I1729" i="6"/>
  <c r="H1729" i="6"/>
  <c r="I1728" i="6"/>
  <c r="H1728" i="6"/>
  <c r="I1727" i="6"/>
  <c r="H1727" i="6"/>
  <c r="I1726" i="6"/>
  <c r="H1726" i="6"/>
  <c r="I1725" i="6"/>
  <c r="H1725" i="6"/>
  <c r="I1724" i="6"/>
  <c r="H1724" i="6"/>
  <c r="I1723" i="6"/>
  <c r="H1723" i="6"/>
  <c r="I1722" i="6"/>
  <c r="H1722" i="6"/>
  <c r="I1721" i="6"/>
  <c r="H1721" i="6"/>
  <c r="I1720" i="6"/>
  <c r="H1720" i="6"/>
  <c r="I1719" i="6"/>
  <c r="H1719" i="6"/>
  <c r="I1718" i="6"/>
  <c r="H1718" i="6"/>
  <c r="I1717" i="6"/>
  <c r="H1717" i="6"/>
  <c r="I1716" i="6"/>
  <c r="H1716" i="6"/>
  <c r="I1715" i="6"/>
  <c r="H1715" i="6"/>
  <c r="I1714" i="6"/>
  <c r="H1714" i="6"/>
  <c r="I1713" i="6"/>
  <c r="H1713" i="6"/>
  <c r="I1712" i="6"/>
  <c r="H1712" i="6"/>
  <c r="I1711" i="6"/>
  <c r="H1711" i="6"/>
  <c r="I1710" i="6"/>
  <c r="H1710" i="6"/>
  <c r="I1709" i="6"/>
  <c r="H1709" i="6"/>
  <c r="I1708" i="6"/>
  <c r="H1708" i="6"/>
  <c r="I1707" i="6"/>
  <c r="H1707" i="6"/>
  <c r="I1706" i="6"/>
  <c r="H1706" i="6"/>
  <c r="I1705" i="6"/>
  <c r="H1705" i="6"/>
  <c r="I1704" i="6"/>
  <c r="H1704" i="6"/>
  <c r="I1703" i="6"/>
  <c r="H1703" i="6"/>
  <c r="I1702" i="6"/>
  <c r="H1702" i="6"/>
  <c r="I1701" i="6"/>
  <c r="H1701" i="6"/>
  <c r="I1700" i="6"/>
  <c r="H1700" i="6"/>
  <c r="I1699" i="6"/>
  <c r="H1699" i="6"/>
  <c r="I1698" i="6"/>
  <c r="H1698" i="6"/>
  <c r="I1697" i="6"/>
  <c r="H1697" i="6"/>
  <c r="I1696" i="6"/>
  <c r="H1696" i="6"/>
  <c r="I1695" i="6"/>
  <c r="H1695" i="6"/>
  <c r="I1694" i="6"/>
  <c r="H1694" i="6"/>
  <c r="I1693" i="6"/>
  <c r="H1693" i="6"/>
  <c r="I1692" i="6"/>
  <c r="H1692" i="6"/>
  <c r="I1691" i="6"/>
  <c r="H1691" i="6"/>
  <c r="I1690" i="6"/>
  <c r="H1690" i="6"/>
  <c r="I1689" i="6"/>
  <c r="H1689" i="6"/>
  <c r="I1688" i="6"/>
  <c r="H1688" i="6"/>
  <c r="I1687" i="6"/>
  <c r="H1687" i="6"/>
  <c r="I1686" i="6"/>
  <c r="H1686" i="6"/>
  <c r="I1685" i="6"/>
  <c r="H1685" i="6"/>
  <c r="I1684" i="6"/>
  <c r="H1684" i="6"/>
  <c r="I1683" i="6"/>
  <c r="H1683" i="6"/>
  <c r="I1682" i="6"/>
  <c r="H1682" i="6"/>
  <c r="I1681" i="6"/>
  <c r="H1681" i="6"/>
  <c r="I1680" i="6"/>
  <c r="H1680" i="6"/>
  <c r="I1679" i="6"/>
  <c r="H1679" i="6"/>
  <c r="I1678" i="6"/>
  <c r="H1678" i="6"/>
  <c r="I1677" i="6"/>
  <c r="H1677" i="6"/>
  <c r="I1676" i="6"/>
  <c r="H1676" i="6"/>
  <c r="I1675" i="6"/>
  <c r="H1675" i="6"/>
  <c r="I1674" i="6"/>
  <c r="H1674" i="6"/>
  <c r="I1673" i="6"/>
  <c r="H1673" i="6"/>
  <c r="I1672" i="6"/>
  <c r="H1672" i="6"/>
  <c r="I1671" i="6"/>
  <c r="H1671" i="6"/>
  <c r="I1670" i="6"/>
  <c r="H1670" i="6"/>
  <c r="I1669" i="6"/>
  <c r="H1669" i="6"/>
  <c r="I1668" i="6"/>
  <c r="H1668" i="6"/>
  <c r="I1667" i="6"/>
  <c r="H1667" i="6"/>
  <c r="I1666" i="6"/>
  <c r="H1666" i="6"/>
  <c r="I1665" i="6"/>
  <c r="H1665" i="6"/>
  <c r="I1664" i="6"/>
  <c r="H1664" i="6"/>
  <c r="I1663" i="6"/>
  <c r="H1663" i="6"/>
  <c r="I1662" i="6"/>
  <c r="H1662" i="6"/>
  <c r="I1661" i="6"/>
  <c r="H1661" i="6"/>
  <c r="I1660" i="6"/>
  <c r="H1660" i="6"/>
  <c r="I1659" i="6"/>
  <c r="H1659" i="6"/>
  <c r="I1658" i="6"/>
  <c r="H1658" i="6"/>
  <c r="I1657" i="6"/>
  <c r="H1657" i="6"/>
  <c r="I1656" i="6"/>
  <c r="H1656" i="6"/>
  <c r="I1655" i="6"/>
  <c r="H1655" i="6"/>
  <c r="I1654" i="6"/>
  <c r="H1654" i="6"/>
  <c r="I1653" i="6"/>
  <c r="H1653" i="6"/>
  <c r="I1652" i="6"/>
  <c r="H1652" i="6"/>
  <c r="I1651" i="6"/>
  <c r="H1651" i="6"/>
  <c r="I1650" i="6"/>
  <c r="H1650" i="6"/>
  <c r="I1649" i="6"/>
  <c r="H1649" i="6"/>
  <c r="I1648" i="6"/>
  <c r="H1648" i="6"/>
  <c r="I1647" i="6"/>
  <c r="H1647" i="6"/>
  <c r="I1646" i="6"/>
  <c r="H1646" i="6"/>
  <c r="I1645" i="6"/>
  <c r="H1645" i="6"/>
  <c r="I1644" i="6"/>
  <c r="H1644" i="6"/>
  <c r="I1643" i="6"/>
  <c r="H1643" i="6"/>
  <c r="I1642" i="6"/>
  <c r="H1642" i="6"/>
  <c r="I1641" i="6"/>
  <c r="H1641" i="6"/>
  <c r="I1640" i="6"/>
  <c r="H1640" i="6"/>
  <c r="I1639" i="6"/>
  <c r="H1639" i="6"/>
  <c r="I1638" i="6"/>
  <c r="H1638" i="6"/>
  <c r="I1637" i="6"/>
  <c r="H1637" i="6"/>
  <c r="I1636" i="6"/>
  <c r="H1636" i="6"/>
  <c r="I1635" i="6"/>
  <c r="H1635" i="6"/>
  <c r="I1634" i="6"/>
  <c r="H1634" i="6"/>
  <c r="B10" i="12" s="1"/>
  <c r="I1633" i="6"/>
  <c r="H1633" i="6"/>
  <c r="I1632" i="6"/>
  <c r="H1632" i="6"/>
  <c r="I1631" i="6"/>
  <c r="H1631" i="6"/>
  <c r="I1630" i="6"/>
  <c r="H1630" i="6"/>
  <c r="I1629" i="6"/>
  <c r="H1629" i="6"/>
  <c r="I1628" i="6"/>
  <c r="H1628" i="6"/>
  <c r="I1627" i="6"/>
  <c r="H1627" i="6"/>
  <c r="I1626" i="6"/>
  <c r="H1626" i="6"/>
  <c r="I1625" i="6"/>
  <c r="H1625" i="6"/>
  <c r="I1624" i="6"/>
  <c r="H1624" i="6"/>
  <c r="I1623" i="6"/>
  <c r="H1623" i="6"/>
  <c r="I1622" i="6"/>
  <c r="H1622" i="6"/>
  <c r="I1621" i="6"/>
  <c r="H1621" i="6"/>
  <c r="I1620" i="6"/>
  <c r="H1620" i="6"/>
  <c r="I1619" i="6"/>
  <c r="H1619" i="6"/>
  <c r="I1618" i="6"/>
  <c r="H1618" i="6"/>
  <c r="I1617" i="6"/>
  <c r="H1617" i="6"/>
  <c r="I1616" i="6"/>
  <c r="H1616" i="6"/>
  <c r="I1615" i="6"/>
  <c r="H1615" i="6"/>
  <c r="I1614" i="6"/>
  <c r="H1614" i="6"/>
  <c r="I1613" i="6"/>
  <c r="H1613" i="6"/>
  <c r="I1612" i="6"/>
  <c r="H1612" i="6"/>
  <c r="I1611" i="6"/>
  <c r="H1611" i="6"/>
  <c r="I1610" i="6"/>
  <c r="H1610" i="6"/>
  <c r="I1609" i="6"/>
  <c r="H1609" i="6"/>
  <c r="I1608" i="6"/>
  <c r="H1608" i="6"/>
  <c r="I1607" i="6"/>
  <c r="H1607" i="6"/>
  <c r="I1606" i="6"/>
  <c r="H1606" i="6"/>
  <c r="I1605" i="6"/>
  <c r="H1605" i="6"/>
  <c r="I1604" i="6"/>
  <c r="H1604" i="6"/>
  <c r="I1603" i="6"/>
  <c r="H1603" i="6"/>
  <c r="I1602" i="6"/>
  <c r="H1602" i="6"/>
  <c r="I1601" i="6"/>
  <c r="H1601" i="6"/>
  <c r="I1600" i="6"/>
  <c r="H1600" i="6"/>
  <c r="I1599" i="6"/>
  <c r="H1599" i="6"/>
  <c r="I1598" i="6"/>
  <c r="H1598" i="6"/>
  <c r="I1597" i="6"/>
  <c r="H1597" i="6"/>
  <c r="I1596" i="6"/>
  <c r="H1596" i="6"/>
  <c r="I1595" i="6"/>
  <c r="H1595" i="6"/>
  <c r="I1594" i="6"/>
  <c r="H1594" i="6"/>
  <c r="I1593" i="6"/>
  <c r="H1593" i="6"/>
  <c r="I1592" i="6"/>
  <c r="H1592" i="6"/>
  <c r="I1591" i="6"/>
  <c r="H1591" i="6"/>
  <c r="I1590" i="6"/>
  <c r="H1590" i="6"/>
  <c r="I1589" i="6"/>
  <c r="H1589" i="6"/>
  <c r="I1588" i="6"/>
  <c r="H1588" i="6"/>
  <c r="I1587" i="6"/>
  <c r="H1587" i="6"/>
  <c r="I1586" i="6"/>
  <c r="H1586" i="6"/>
  <c r="I1585" i="6"/>
  <c r="H1585" i="6"/>
  <c r="I1584" i="6"/>
  <c r="H1584" i="6"/>
  <c r="I1583" i="6"/>
  <c r="H1583" i="6"/>
  <c r="I1582" i="6"/>
  <c r="H1582" i="6"/>
  <c r="I1581" i="6"/>
  <c r="H1581" i="6"/>
  <c r="I1580" i="6"/>
  <c r="H1580" i="6"/>
  <c r="I1579" i="6"/>
  <c r="H1579" i="6"/>
  <c r="I1578" i="6"/>
  <c r="H1578" i="6"/>
  <c r="I1577" i="6"/>
  <c r="H1577" i="6"/>
  <c r="I1576" i="6"/>
  <c r="H1576" i="6"/>
  <c r="I1575" i="6"/>
  <c r="H1575" i="6"/>
  <c r="I1574" i="6"/>
  <c r="H1574" i="6"/>
  <c r="I1573" i="6"/>
  <c r="H1573" i="6"/>
  <c r="I1572" i="6"/>
  <c r="H1572" i="6"/>
  <c r="I1571" i="6"/>
  <c r="H1571" i="6"/>
  <c r="I1570" i="6"/>
  <c r="H1570" i="6"/>
  <c r="I1569" i="6"/>
  <c r="H1569" i="6"/>
  <c r="I1568" i="6"/>
  <c r="H1568" i="6"/>
  <c r="I1567" i="6"/>
  <c r="H1567" i="6"/>
  <c r="I1566" i="6"/>
  <c r="H1566" i="6"/>
  <c r="I1565" i="6"/>
  <c r="H1565" i="6"/>
  <c r="I1564" i="6"/>
  <c r="H1564" i="6"/>
  <c r="I1563" i="6"/>
  <c r="H1563" i="6"/>
  <c r="I1562" i="6"/>
  <c r="H1562" i="6"/>
  <c r="I1561" i="6"/>
  <c r="H1561" i="6"/>
  <c r="I1560" i="6"/>
  <c r="H1560" i="6"/>
  <c r="I1559" i="6"/>
  <c r="H1559" i="6"/>
  <c r="I1558" i="6"/>
  <c r="H1558" i="6"/>
  <c r="I1557" i="6"/>
  <c r="H1557" i="6"/>
  <c r="I1556" i="6"/>
  <c r="H1556" i="6"/>
  <c r="I1555" i="6"/>
  <c r="H1555" i="6"/>
  <c r="I1554" i="6"/>
  <c r="H1554" i="6"/>
  <c r="I1553" i="6"/>
  <c r="H1553" i="6"/>
  <c r="I1552" i="6"/>
  <c r="H1552" i="6"/>
  <c r="I1551" i="6"/>
  <c r="H1551" i="6"/>
  <c r="I1550" i="6"/>
  <c r="H1550" i="6"/>
  <c r="I1549" i="6"/>
  <c r="H1549" i="6"/>
  <c r="I1548" i="6"/>
  <c r="H1548" i="6"/>
  <c r="I1547" i="6"/>
  <c r="H1547" i="6"/>
  <c r="I1546" i="6"/>
  <c r="H1546" i="6"/>
  <c r="I1545" i="6"/>
  <c r="H1545" i="6"/>
  <c r="I1544" i="6"/>
  <c r="H1544" i="6"/>
  <c r="I1543" i="6"/>
  <c r="H1543" i="6"/>
  <c r="I1542" i="6"/>
  <c r="H1542" i="6"/>
  <c r="I1541" i="6"/>
  <c r="H1541" i="6"/>
  <c r="I1540" i="6"/>
  <c r="H1540" i="6"/>
  <c r="I1539" i="6"/>
  <c r="H1539" i="6"/>
  <c r="I1538" i="6"/>
  <c r="H1538" i="6"/>
  <c r="I1537" i="6"/>
  <c r="H1537" i="6"/>
  <c r="I1536" i="6"/>
  <c r="H1536" i="6"/>
  <c r="I1535" i="6"/>
  <c r="H1535" i="6"/>
  <c r="I1534" i="6"/>
  <c r="H1534" i="6"/>
  <c r="I1533" i="6"/>
  <c r="H1533" i="6"/>
  <c r="I1532" i="6"/>
  <c r="H1532" i="6"/>
  <c r="I1531" i="6"/>
  <c r="H1531" i="6"/>
  <c r="I1530" i="6"/>
  <c r="H1530" i="6"/>
  <c r="I1529" i="6"/>
  <c r="H1529" i="6"/>
  <c r="I1528" i="6"/>
  <c r="H1528" i="6"/>
  <c r="I1527" i="6"/>
  <c r="H1527" i="6"/>
  <c r="I1526" i="6"/>
  <c r="H1526" i="6"/>
  <c r="I1525" i="6"/>
  <c r="H1525" i="6"/>
  <c r="I1524" i="6"/>
  <c r="H1524" i="6"/>
  <c r="I1523" i="6"/>
  <c r="H1523" i="6"/>
  <c r="I1522" i="6"/>
  <c r="H1522" i="6"/>
  <c r="I1521" i="6"/>
  <c r="H1521" i="6"/>
  <c r="I1520" i="6"/>
  <c r="H1520" i="6"/>
  <c r="I1519" i="6"/>
  <c r="H1519" i="6"/>
  <c r="I1518" i="6"/>
  <c r="H1518" i="6"/>
  <c r="I1517" i="6"/>
  <c r="H1517" i="6"/>
  <c r="I1516" i="6"/>
  <c r="H1516" i="6"/>
  <c r="I1515" i="6"/>
  <c r="H1515" i="6"/>
  <c r="I1514" i="6"/>
  <c r="H1514" i="6"/>
  <c r="I1513" i="6"/>
  <c r="H1513" i="6"/>
  <c r="I1512" i="6"/>
  <c r="H1512" i="6"/>
  <c r="I1511" i="6"/>
  <c r="H1511" i="6"/>
  <c r="I1510" i="6"/>
  <c r="H1510" i="6"/>
  <c r="I1509" i="6"/>
  <c r="H1509" i="6"/>
  <c r="I1508" i="6"/>
  <c r="H1508" i="6"/>
  <c r="I1507" i="6"/>
  <c r="H1507" i="6"/>
  <c r="I1506" i="6"/>
  <c r="H1506" i="6"/>
  <c r="I1505" i="6"/>
  <c r="H1505" i="6"/>
  <c r="I1504" i="6"/>
  <c r="H1504" i="6"/>
  <c r="I1503" i="6"/>
  <c r="H1503" i="6"/>
  <c r="I1502" i="6"/>
  <c r="H1502" i="6"/>
  <c r="I1501" i="6"/>
  <c r="H1501" i="6"/>
  <c r="I1500" i="6"/>
  <c r="H1500" i="6"/>
  <c r="I1499" i="6"/>
  <c r="H1499" i="6"/>
  <c r="I1498" i="6"/>
  <c r="H1498" i="6"/>
  <c r="I1497" i="6"/>
  <c r="H1497" i="6"/>
  <c r="I1496" i="6"/>
  <c r="H1496" i="6"/>
  <c r="I1495" i="6"/>
  <c r="H1495" i="6"/>
  <c r="I1494" i="6"/>
  <c r="H1494" i="6"/>
  <c r="I1493" i="6"/>
  <c r="H1493" i="6"/>
  <c r="I1492" i="6"/>
  <c r="H1492" i="6"/>
  <c r="I1491" i="6"/>
  <c r="H1491" i="6"/>
  <c r="I1490" i="6"/>
  <c r="H1490" i="6"/>
  <c r="I1489" i="6"/>
  <c r="H1489" i="6"/>
  <c r="I1488" i="6"/>
  <c r="H1488" i="6"/>
  <c r="I1487" i="6"/>
  <c r="H1487" i="6"/>
  <c r="I1486" i="6"/>
  <c r="H1486" i="6"/>
  <c r="I1485" i="6"/>
  <c r="H1485" i="6"/>
  <c r="I1484" i="6"/>
  <c r="H1484" i="6"/>
  <c r="I1483" i="6"/>
  <c r="H1483" i="6"/>
  <c r="I1482" i="6"/>
  <c r="H1482" i="6"/>
  <c r="I1481" i="6"/>
  <c r="H1481" i="6"/>
  <c r="I1480" i="6"/>
  <c r="H1480" i="6"/>
  <c r="I1479" i="6"/>
  <c r="H1479" i="6"/>
  <c r="I1478" i="6"/>
  <c r="H1478" i="6"/>
  <c r="I1477" i="6"/>
  <c r="H1477" i="6"/>
  <c r="I1476" i="6"/>
  <c r="H1476" i="6"/>
  <c r="I1475" i="6"/>
  <c r="H1475" i="6"/>
  <c r="I1474" i="6"/>
  <c r="H1474" i="6"/>
  <c r="I1473" i="6"/>
  <c r="H1473" i="6"/>
  <c r="I1472" i="6"/>
  <c r="H1472" i="6"/>
  <c r="I1471" i="6"/>
  <c r="H1471" i="6"/>
  <c r="I1470" i="6"/>
  <c r="H1470" i="6"/>
  <c r="I1469" i="6"/>
  <c r="H1469" i="6"/>
  <c r="I1468" i="6"/>
  <c r="H1468" i="6"/>
  <c r="I1467" i="6"/>
  <c r="H1467" i="6"/>
  <c r="I1466" i="6"/>
  <c r="H1466" i="6"/>
  <c r="I1465" i="6"/>
  <c r="H1465" i="6"/>
  <c r="I1464" i="6"/>
  <c r="H1464" i="6"/>
  <c r="I1463" i="6"/>
  <c r="H1463" i="6"/>
  <c r="I1462" i="6"/>
  <c r="H1462" i="6"/>
  <c r="I1461" i="6"/>
  <c r="H1461" i="6"/>
  <c r="I1460" i="6"/>
  <c r="H1460" i="6"/>
  <c r="I1459" i="6"/>
  <c r="H1459" i="6"/>
  <c r="I1458" i="6"/>
  <c r="H1458" i="6"/>
  <c r="I1457" i="6"/>
  <c r="H1457" i="6"/>
  <c r="I1456" i="6"/>
  <c r="H1456" i="6"/>
  <c r="I1455" i="6"/>
  <c r="H1455" i="6"/>
  <c r="I1454" i="6"/>
  <c r="H1454" i="6"/>
  <c r="I1453" i="6"/>
  <c r="H1453" i="6"/>
  <c r="I1452" i="6"/>
  <c r="H1452" i="6"/>
  <c r="I1451" i="6"/>
  <c r="H1451" i="6"/>
  <c r="I1450" i="6"/>
  <c r="H1450" i="6"/>
  <c r="I1449" i="6"/>
  <c r="H1449" i="6"/>
  <c r="I1448" i="6"/>
  <c r="H1448" i="6"/>
  <c r="I1447" i="6"/>
  <c r="H1447" i="6"/>
  <c r="I1446" i="6"/>
  <c r="H1446" i="6"/>
  <c r="I1445" i="6"/>
  <c r="H1445" i="6"/>
  <c r="I1444" i="6"/>
  <c r="H1444" i="6"/>
  <c r="I1443" i="6"/>
  <c r="H1443" i="6"/>
  <c r="I1442" i="6"/>
  <c r="H1442" i="6"/>
  <c r="I1441" i="6"/>
  <c r="H1441" i="6"/>
  <c r="I1440" i="6"/>
  <c r="H1440" i="6"/>
  <c r="I1439" i="6"/>
  <c r="H1439" i="6"/>
  <c r="I1438" i="6"/>
  <c r="H1438" i="6"/>
  <c r="I1437" i="6"/>
  <c r="H1437" i="6"/>
  <c r="I1436" i="6"/>
  <c r="H1436" i="6"/>
  <c r="I1435" i="6"/>
  <c r="H1435" i="6"/>
  <c r="I1434" i="6"/>
  <c r="H1434" i="6"/>
  <c r="I1433" i="6"/>
  <c r="H1433" i="6"/>
  <c r="I1432" i="6"/>
  <c r="H1432" i="6"/>
  <c r="I1431" i="6"/>
  <c r="H1431" i="6"/>
  <c r="I1430" i="6"/>
  <c r="H1430" i="6"/>
  <c r="I1429" i="6"/>
  <c r="H1429" i="6"/>
  <c r="I1428" i="6"/>
  <c r="H1428" i="6"/>
  <c r="I1427" i="6"/>
  <c r="H1427" i="6"/>
  <c r="I1426" i="6"/>
  <c r="H1426" i="6"/>
  <c r="I1425" i="6"/>
  <c r="H1425" i="6"/>
  <c r="I1424" i="6"/>
  <c r="H1424" i="6"/>
  <c r="I1423" i="6"/>
  <c r="H1423" i="6"/>
  <c r="I1422" i="6"/>
  <c r="H1422" i="6"/>
  <c r="I1421" i="6"/>
  <c r="H1421" i="6"/>
  <c r="I1420" i="6"/>
  <c r="H1420" i="6"/>
  <c r="I1419" i="6"/>
  <c r="H1419" i="6"/>
  <c r="I1418" i="6"/>
  <c r="H1418" i="6"/>
  <c r="I1417" i="6"/>
  <c r="H1417" i="6"/>
  <c r="I1416" i="6"/>
  <c r="H1416" i="6"/>
  <c r="I1415" i="6"/>
  <c r="H1415" i="6"/>
  <c r="I1414" i="6"/>
  <c r="H1414" i="6"/>
  <c r="I1413" i="6"/>
  <c r="H1413" i="6"/>
  <c r="I1412" i="6"/>
  <c r="H1412" i="6"/>
  <c r="I1411" i="6"/>
  <c r="H1411" i="6"/>
  <c r="I1410" i="6"/>
  <c r="H1410" i="6"/>
  <c r="I1409" i="6"/>
  <c r="H1409" i="6"/>
  <c r="I1408" i="6"/>
  <c r="H1408" i="6"/>
  <c r="I1407" i="6"/>
  <c r="H1407" i="6"/>
  <c r="I1406" i="6"/>
  <c r="H1406" i="6"/>
  <c r="I1405" i="6"/>
  <c r="H1405" i="6"/>
  <c r="I1404" i="6"/>
  <c r="H1404" i="6"/>
  <c r="I1403" i="6"/>
  <c r="H1403" i="6"/>
  <c r="I1402" i="6"/>
  <c r="H1402" i="6"/>
  <c r="I1401" i="6"/>
  <c r="H1401" i="6"/>
  <c r="I1400" i="6"/>
  <c r="H1400" i="6"/>
  <c r="I1399" i="6"/>
  <c r="H1399" i="6"/>
  <c r="I1398" i="6"/>
  <c r="H1398" i="6"/>
  <c r="I1397" i="6"/>
  <c r="H1397" i="6"/>
  <c r="I1396" i="6"/>
  <c r="H1396" i="6"/>
  <c r="I1395" i="6"/>
  <c r="H1395" i="6"/>
  <c r="I1394" i="6"/>
  <c r="H1394" i="6"/>
  <c r="I1393" i="6"/>
  <c r="H1393" i="6"/>
  <c r="I1392" i="6"/>
  <c r="H1392" i="6"/>
  <c r="I1391" i="6"/>
  <c r="H1391" i="6"/>
  <c r="I1390" i="6"/>
  <c r="H1390" i="6"/>
  <c r="I1389" i="6"/>
  <c r="H1389" i="6"/>
  <c r="I1388" i="6"/>
  <c r="H1388" i="6"/>
  <c r="I1387" i="6"/>
  <c r="H1387" i="6"/>
  <c r="I1386" i="6"/>
  <c r="H1386" i="6"/>
  <c r="I1385" i="6"/>
  <c r="H1385" i="6"/>
  <c r="I1384" i="6"/>
  <c r="H1384" i="6"/>
  <c r="I1383" i="6"/>
  <c r="H1383" i="6"/>
  <c r="I1382" i="6"/>
  <c r="H1382" i="6"/>
  <c r="I1381" i="6"/>
  <c r="H1381" i="6"/>
  <c r="I1380" i="6"/>
  <c r="H1380" i="6"/>
  <c r="I1379" i="6"/>
  <c r="H1379" i="6"/>
  <c r="I1378" i="6"/>
  <c r="H1378" i="6"/>
  <c r="I1377" i="6"/>
  <c r="H1377" i="6"/>
  <c r="I1376" i="6"/>
  <c r="H1376" i="6"/>
  <c r="I1375" i="6"/>
  <c r="H1375" i="6"/>
  <c r="I1374" i="6"/>
  <c r="H1374" i="6"/>
  <c r="I1373" i="6"/>
  <c r="H1373" i="6"/>
  <c r="I1372" i="6"/>
  <c r="H1372" i="6"/>
  <c r="I1371" i="6"/>
  <c r="H1371" i="6"/>
  <c r="I1370" i="6"/>
  <c r="H1370" i="6"/>
  <c r="I1369" i="6"/>
  <c r="H1369" i="6"/>
  <c r="I1368" i="6"/>
  <c r="H1368" i="6"/>
  <c r="I1367" i="6"/>
  <c r="H1367" i="6"/>
  <c r="I1366" i="6"/>
  <c r="H1366" i="6"/>
  <c r="I1365" i="6"/>
  <c r="H1365" i="6"/>
  <c r="I1364" i="6"/>
  <c r="H1364" i="6"/>
  <c r="I1363" i="6"/>
  <c r="H1363" i="6"/>
  <c r="I1362" i="6"/>
  <c r="H1362" i="6"/>
  <c r="I1361" i="6"/>
  <c r="H1361" i="6"/>
  <c r="I1360" i="6"/>
  <c r="H1360" i="6"/>
  <c r="I1359" i="6"/>
  <c r="H1359" i="6"/>
  <c r="I1358" i="6"/>
  <c r="H1358" i="6"/>
  <c r="I1357" i="6"/>
  <c r="H1357" i="6"/>
  <c r="I1356" i="6"/>
  <c r="H1356" i="6"/>
  <c r="I1355" i="6"/>
  <c r="H1355" i="6"/>
  <c r="I1354" i="6"/>
  <c r="H1354" i="6"/>
  <c r="I1353" i="6"/>
  <c r="H1353" i="6"/>
  <c r="I1352" i="6"/>
  <c r="H1352" i="6"/>
  <c r="I1351" i="6"/>
  <c r="H1351" i="6"/>
  <c r="I1350" i="6"/>
  <c r="H1350" i="6"/>
  <c r="I1349" i="6"/>
  <c r="H1349" i="6"/>
  <c r="I1348" i="6"/>
  <c r="H1348" i="6"/>
  <c r="I1347" i="6"/>
  <c r="H1347" i="6"/>
  <c r="I1346" i="6"/>
  <c r="H1346" i="6"/>
  <c r="I1345" i="6"/>
  <c r="H1345" i="6"/>
  <c r="I1344" i="6"/>
  <c r="H1344" i="6"/>
  <c r="I1343" i="6"/>
  <c r="H1343" i="6"/>
  <c r="I1342" i="6"/>
  <c r="H1342" i="6"/>
  <c r="I1341" i="6"/>
  <c r="H1341" i="6"/>
  <c r="I1340" i="6"/>
  <c r="H1340" i="6"/>
  <c r="I1339" i="6"/>
  <c r="H1339" i="6"/>
  <c r="B9" i="12" s="1"/>
  <c r="I1338" i="6"/>
  <c r="H1338" i="6"/>
  <c r="I1337" i="6"/>
  <c r="H1337" i="6"/>
  <c r="I1336" i="6"/>
  <c r="H1336" i="6"/>
  <c r="I1335" i="6"/>
  <c r="H1335" i="6"/>
  <c r="I1334" i="6"/>
  <c r="H1334" i="6"/>
  <c r="I1333" i="6"/>
  <c r="H1333" i="6"/>
  <c r="I1332" i="6"/>
  <c r="H1332" i="6"/>
  <c r="I1331" i="6"/>
  <c r="H1331" i="6"/>
  <c r="I1330" i="6"/>
  <c r="H1330" i="6"/>
  <c r="I1329" i="6"/>
  <c r="H1329" i="6"/>
  <c r="I1328" i="6"/>
  <c r="H1328" i="6"/>
  <c r="I1327" i="6"/>
  <c r="H1327" i="6"/>
  <c r="I1326" i="6"/>
  <c r="H1326" i="6"/>
  <c r="I1325" i="6"/>
  <c r="H1325" i="6"/>
  <c r="I1324" i="6"/>
  <c r="H1324" i="6"/>
  <c r="I1323" i="6"/>
  <c r="H1323" i="6"/>
  <c r="I1322" i="6"/>
  <c r="H1322" i="6"/>
  <c r="I1321" i="6"/>
  <c r="H1321" i="6"/>
  <c r="I1320" i="6"/>
  <c r="H1320" i="6"/>
  <c r="I1319" i="6"/>
  <c r="H1319" i="6"/>
  <c r="I1318" i="6"/>
  <c r="H1318" i="6"/>
  <c r="I1317" i="6"/>
  <c r="H1317" i="6"/>
  <c r="I1316" i="6"/>
  <c r="H1316" i="6"/>
  <c r="I1315" i="6"/>
  <c r="H1315" i="6"/>
  <c r="I1314" i="6"/>
  <c r="H1314" i="6"/>
  <c r="I1313" i="6"/>
  <c r="H1313" i="6"/>
  <c r="I1312" i="6"/>
  <c r="H1312" i="6"/>
  <c r="I1311" i="6"/>
  <c r="H1311" i="6"/>
  <c r="I1310" i="6"/>
  <c r="H1310" i="6"/>
  <c r="I1309" i="6"/>
  <c r="H1309" i="6"/>
  <c r="I1308" i="6"/>
  <c r="H1308" i="6"/>
  <c r="I1307" i="6"/>
  <c r="H1307" i="6"/>
  <c r="I1306" i="6"/>
  <c r="H1306" i="6"/>
  <c r="I1305" i="6"/>
  <c r="H1305" i="6"/>
  <c r="I1304" i="6"/>
  <c r="H1304" i="6"/>
  <c r="I1303" i="6"/>
  <c r="H1303" i="6"/>
  <c r="I1302" i="6"/>
  <c r="H1302" i="6"/>
  <c r="I1301" i="6"/>
  <c r="H1301" i="6"/>
  <c r="I1300" i="6"/>
  <c r="H1300" i="6"/>
  <c r="I1299" i="6"/>
  <c r="H1299" i="6"/>
  <c r="I1298" i="6"/>
  <c r="H1298" i="6"/>
  <c r="I1297" i="6"/>
  <c r="H1297" i="6"/>
  <c r="I1296" i="6"/>
  <c r="H1296" i="6"/>
  <c r="I1295" i="6"/>
  <c r="H1295" i="6"/>
  <c r="I1294" i="6"/>
  <c r="H1294" i="6"/>
  <c r="I1293" i="6"/>
  <c r="H1293" i="6"/>
  <c r="I1292" i="6"/>
  <c r="H1292" i="6"/>
  <c r="I1291" i="6"/>
  <c r="H1291" i="6"/>
  <c r="I1290" i="6"/>
  <c r="H1290" i="6"/>
  <c r="I1289" i="6"/>
  <c r="H1289" i="6"/>
  <c r="I1288" i="6"/>
  <c r="H1288" i="6"/>
  <c r="I1287" i="6"/>
  <c r="H1287" i="6"/>
  <c r="I1286" i="6"/>
  <c r="H1286" i="6"/>
  <c r="I1285" i="6"/>
  <c r="H1285" i="6"/>
  <c r="I1284" i="6"/>
  <c r="H1284" i="6"/>
  <c r="I1283" i="6"/>
  <c r="H1283" i="6"/>
  <c r="I1282" i="6"/>
  <c r="H1282" i="6"/>
  <c r="I1281" i="6"/>
  <c r="H1281" i="6"/>
  <c r="I1280" i="6"/>
  <c r="H1280" i="6"/>
  <c r="I1279" i="6"/>
  <c r="H1279" i="6"/>
  <c r="I1278" i="6"/>
  <c r="H1278" i="6"/>
  <c r="I1277" i="6"/>
  <c r="H1277" i="6"/>
  <c r="I1276" i="6"/>
  <c r="H1276" i="6"/>
  <c r="I1275" i="6"/>
  <c r="H1275" i="6"/>
  <c r="I1274" i="6"/>
  <c r="H1274" i="6"/>
  <c r="I1273" i="6"/>
  <c r="H1273" i="6"/>
  <c r="I1272" i="6"/>
  <c r="H1272" i="6"/>
  <c r="I1271" i="6"/>
  <c r="H1271" i="6"/>
  <c r="I1270" i="6"/>
  <c r="H1270" i="6"/>
  <c r="I1269" i="6"/>
  <c r="H1269" i="6"/>
  <c r="I1268" i="6"/>
  <c r="H1268" i="6"/>
  <c r="I1267" i="6"/>
  <c r="H1267" i="6"/>
  <c r="I1266" i="6"/>
  <c r="H1266" i="6"/>
  <c r="I1265" i="6"/>
  <c r="H1265" i="6"/>
  <c r="I1264" i="6"/>
  <c r="H1264" i="6"/>
  <c r="I1263" i="6"/>
  <c r="H1263" i="6"/>
  <c r="I1262" i="6"/>
  <c r="H1262" i="6"/>
  <c r="I1261" i="6"/>
  <c r="H1261" i="6"/>
  <c r="I1260" i="6"/>
  <c r="H1260" i="6"/>
  <c r="I1259" i="6"/>
  <c r="H1259" i="6"/>
  <c r="I1258" i="6"/>
  <c r="H1258" i="6"/>
  <c r="I1257" i="6"/>
  <c r="H1257" i="6"/>
  <c r="I1256" i="6"/>
  <c r="H1256" i="6"/>
  <c r="I1255" i="6"/>
  <c r="H1255" i="6"/>
  <c r="I1254" i="6"/>
  <c r="H1254" i="6"/>
  <c r="I1253" i="6"/>
  <c r="H1253" i="6"/>
  <c r="I1252" i="6"/>
  <c r="H1252" i="6"/>
  <c r="I1251" i="6"/>
  <c r="H1251" i="6"/>
  <c r="I1250" i="6"/>
  <c r="H1250" i="6"/>
  <c r="I1249" i="6"/>
  <c r="H1249" i="6"/>
  <c r="I1248" i="6"/>
  <c r="H1248" i="6"/>
  <c r="I1247" i="6"/>
  <c r="H1247" i="6"/>
  <c r="I1246" i="6"/>
  <c r="H1246" i="6"/>
  <c r="I1245" i="6"/>
  <c r="H1245" i="6"/>
  <c r="I1244" i="6"/>
  <c r="H1244" i="6"/>
  <c r="I1243" i="6"/>
  <c r="H1243" i="6"/>
  <c r="I1242" i="6"/>
  <c r="H1242" i="6"/>
  <c r="I1241" i="6"/>
  <c r="H1241" i="6"/>
  <c r="I1240" i="6"/>
  <c r="H1240" i="6"/>
  <c r="I1239" i="6"/>
  <c r="H1239" i="6"/>
  <c r="I1238" i="6"/>
  <c r="H1238" i="6"/>
  <c r="I1237" i="6"/>
  <c r="H1237" i="6"/>
  <c r="I1236" i="6"/>
  <c r="H1236" i="6"/>
  <c r="I1235" i="6"/>
  <c r="H1235" i="6"/>
  <c r="I1234" i="6"/>
  <c r="H1234" i="6"/>
  <c r="I1233" i="6"/>
  <c r="H1233" i="6"/>
  <c r="I1232" i="6"/>
  <c r="H1232" i="6"/>
  <c r="I1231" i="6"/>
  <c r="H1231" i="6"/>
  <c r="I1230" i="6"/>
  <c r="H1230" i="6"/>
  <c r="I1229" i="6"/>
  <c r="H1229" i="6"/>
  <c r="I1228" i="6"/>
  <c r="H1228" i="6"/>
  <c r="I1227" i="6"/>
  <c r="H1227" i="6"/>
  <c r="I1226" i="6"/>
  <c r="H1226" i="6"/>
  <c r="I1225" i="6"/>
  <c r="H1225" i="6"/>
  <c r="I1224" i="6"/>
  <c r="H1224" i="6"/>
  <c r="I1223" i="6"/>
  <c r="H1223" i="6"/>
  <c r="I1222" i="6"/>
  <c r="H1222" i="6"/>
  <c r="I1221" i="6"/>
  <c r="H1221" i="6"/>
  <c r="I1220" i="6"/>
  <c r="H1220" i="6"/>
  <c r="I1219" i="6"/>
  <c r="H1219" i="6"/>
  <c r="I1218" i="6"/>
  <c r="H1218" i="6"/>
  <c r="I1217" i="6"/>
  <c r="H1217" i="6"/>
  <c r="I1216" i="6"/>
  <c r="H1216" i="6"/>
  <c r="I1215" i="6"/>
  <c r="H1215" i="6"/>
  <c r="I1214" i="6"/>
  <c r="H1214" i="6"/>
  <c r="I1213" i="6"/>
  <c r="H1213" i="6"/>
  <c r="I1212" i="6"/>
  <c r="H1212" i="6"/>
  <c r="I1211" i="6"/>
  <c r="H1211" i="6"/>
  <c r="I1210" i="6"/>
  <c r="H1210" i="6"/>
  <c r="I1209" i="6"/>
  <c r="H1209" i="6"/>
  <c r="I1208" i="6"/>
  <c r="H1208" i="6"/>
  <c r="I1207" i="6"/>
  <c r="H1207" i="6"/>
  <c r="I1206" i="6"/>
  <c r="H1206" i="6"/>
  <c r="I1205" i="6"/>
  <c r="H1205" i="6"/>
  <c r="I1204" i="6"/>
  <c r="H1204" i="6"/>
  <c r="I1203" i="6"/>
  <c r="H1203" i="6"/>
  <c r="I1202" i="6"/>
  <c r="H1202" i="6"/>
  <c r="I1201" i="6"/>
  <c r="H1201" i="6"/>
  <c r="I1200" i="6"/>
  <c r="H1200" i="6"/>
  <c r="I1199" i="6"/>
  <c r="H1199" i="6"/>
  <c r="I1198" i="6"/>
  <c r="H1198" i="6"/>
  <c r="I1197" i="6"/>
  <c r="H1197" i="6"/>
  <c r="I1196" i="6"/>
  <c r="H1196" i="6"/>
  <c r="I1195" i="6"/>
  <c r="H1195" i="6"/>
  <c r="I1194" i="6"/>
  <c r="H1194" i="6"/>
  <c r="I1193" i="6"/>
  <c r="H1193" i="6"/>
  <c r="I1192" i="6"/>
  <c r="H1192" i="6"/>
  <c r="I1191" i="6"/>
  <c r="H1191" i="6"/>
  <c r="I1190" i="6"/>
  <c r="H1190" i="6"/>
  <c r="I1189" i="6"/>
  <c r="H1189" i="6"/>
  <c r="I1188" i="6"/>
  <c r="H1188" i="6"/>
  <c r="I1187" i="6"/>
  <c r="H1187" i="6"/>
  <c r="I1186" i="6"/>
  <c r="H1186" i="6"/>
  <c r="I1185" i="6"/>
  <c r="H1185" i="6"/>
  <c r="I1184" i="6"/>
  <c r="H1184" i="6"/>
  <c r="I1183" i="6"/>
  <c r="H1183" i="6"/>
  <c r="I1182" i="6"/>
  <c r="H1182" i="6"/>
  <c r="I1181" i="6"/>
  <c r="H1181" i="6"/>
  <c r="I1180" i="6"/>
  <c r="H1180" i="6"/>
  <c r="I1179" i="6"/>
  <c r="H1179" i="6"/>
  <c r="I1178" i="6"/>
  <c r="H1178" i="6"/>
  <c r="I1177" i="6"/>
  <c r="H1177" i="6"/>
  <c r="I1176" i="6"/>
  <c r="H1176" i="6"/>
  <c r="I1175" i="6"/>
  <c r="H1175" i="6"/>
  <c r="I1174" i="6"/>
  <c r="H1174" i="6"/>
  <c r="I1173" i="6"/>
  <c r="H1173" i="6"/>
  <c r="I1172" i="6"/>
  <c r="H1172" i="6"/>
  <c r="I1171" i="6"/>
  <c r="H1171" i="6"/>
  <c r="I1170" i="6"/>
  <c r="H1170" i="6"/>
  <c r="I1169" i="6"/>
  <c r="H1169" i="6"/>
  <c r="I1168" i="6"/>
  <c r="H1168" i="6"/>
  <c r="I1167" i="6"/>
  <c r="H1167" i="6"/>
  <c r="I1166" i="6"/>
  <c r="H1166" i="6"/>
  <c r="I1165" i="6"/>
  <c r="H1165" i="6"/>
  <c r="I1164" i="6"/>
  <c r="H1164" i="6"/>
  <c r="I1163" i="6"/>
  <c r="H1163" i="6"/>
  <c r="I1162" i="6"/>
  <c r="H1162" i="6"/>
  <c r="I1161" i="6"/>
  <c r="H1161" i="6"/>
  <c r="I1160" i="6"/>
  <c r="H1160" i="6"/>
  <c r="I1159" i="6"/>
  <c r="H1159" i="6"/>
  <c r="I1158" i="6"/>
  <c r="H1158" i="6"/>
  <c r="I1157" i="6"/>
  <c r="H1157" i="6"/>
  <c r="I1156" i="6"/>
  <c r="H1156" i="6"/>
  <c r="I1155" i="6"/>
  <c r="H1155" i="6"/>
  <c r="I1154" i="6"/>
  <c r="H1154" i="6"/>
  <c r="I1153" i="6"/>
  <c r="H1153" i="6"/>
  <c r="I1152" i="6"/>
  <c r="H1152" i="6"/>
  <c r="I1151" i="6"/>
  <c r="H1151" i="6"/>
  <c r="I1150" i="6"/>
  <c r="H1150" i="6"/>
  <c r="I1149" i="6"/>
  <c r="H1149" i="6"/>
  <c r="I1148" i="6"/>
  <c r="H1148" i="6"/>
  <c r="I1147" i="6"/>
  <c r="H1147" i="6"/>
  <c r="I1146" i="6"/>
  <c r="H1146" i="6"/>
  <c r="I1145" i="6"/>
  <c r="H1145" i="6"/>
  <c r="I1144" i="6"/>
  <c r="H1144" i="6"/>
  <c r="I1143" i="6"/>
  <c r="H1143" i="6"/>
  <c r="I1142" i="6"/>
  <c r="H1142" i="6"/>
  <c r="I1141" i="6"/>
  <c r="H1141" i="6"/>
  <c r="I1140" i="6"/>
  <c r="H1140" i="6"/>
  <c r="I1139" i="6"/>
  <c r="H1139" i="6"/>
  <c r="I1138" i="6"/>
  <c r="H1138" i="6"/>
  <c r="I1137" i="6"/>
  <c r="H1137" i="6"/>
  <c r="I1136" i="6"/>
  <c r="H1136" i="6"/>
  <c r="I1135" i="6"/>
  <c r="H1135" i="6"/>
  <c r="I1134" i="6"/>
  <c r="H1134" i="6"/>
  <c r="I1133" i="6"/>
  <c r="H1133" i="6"/>
  <c r="I1132" i="6"/>
  <c r="H1132" i="6"/>
  <c r="I1131" i="6"/>
  <c r="H1131" i="6"/>
  <c r="I1130" i="6"/>
  <c r="H1130" i="6"/>
  <c r="I1129" i="6"/>
  <c r="H1129" i="6"/>
  <c r="I1128" i="6"/>
  <c r="H1128" i="6"/>
  <c r="I1127" i="6"/>
  <c r="H1127" i="6"/>
  <c r="I1126" i="6"/>
  <c r="H1126" i="6"/>
  <c r="I1125" i="6"/>
  <c r="H1125" i="6"/>
  <c r="I1124" i="6"/>
  <c r="H1124" i="6"/>
  <c r="I1123" i="6"/>
  <c r="H1123" i="6"/>
  <c r="I1122" i="6"/>
  <c r="H1122" i="6"/>
  <c r="I1121" i="6"/>
  <c r="H1121" i="6"/>
  <c r="I1120" i="6"/>
  <c r="H1120" i="6"/>
  <c r="I1119" i="6"/>
  <c r="H1119" i="6"/>
  <c r="I1118" i="6"/>
  <c r="H1118" i="6"/>
  <c r="I1117" i="6"/>
  <c r="H1117" i="6"/>
  <c r="I1116" i="6"/>
  <c r="H1116" i="6"/>
  <c r="I1115" i="6"/>
  <c r="H1115" i="6"/>
  <c r="I1114" i="6"/>
  <c r="H1114" i="6"/>
  <c r="I1113" i="6"/>
  <c r="H1113" i="6"/>
  <c r="I1112" i="6"/>
  <c r="H1112" i="6"/>
  <c r="I1111" i="6"/>
  <c r="H1111" i="6"/>
  <c r="I1110" i="6"/>
  <c r="H1110" i="6"/>
  <c r="I1109" i="6"/>
  <c r="H1109" i="6"/>
  <c r="I1108" i="6"/>
  <c r="H1108" i="6"/>
  <c r="I1107" i="6"/>
  <c r="H1107" i="6"/>
  <c r="I1106" i="6"/>
  <c r="H1106" i="6"/>
  <c r="I1105" i="6"/>
  <c r="H1105" i="6"/>
  <c r="I1104" i="6"/>
  <c r="H1104" i="6"/>
  <c r="I1103" i="6"/>
  <c r="H1103" i="6"/>
  <c r="I1102" i="6"/>
  <c r="H1102" i="6"/>
  <c r="I1101" i="6"/>
  <c r="H1101" i="6"/>
  <c r="I1100" i="6"/>
  <c r="H1100" i="6"/>
  <c r="I1099" i="6"/>
  <c r="H1099" i="6"/>
  <c r="I1098" i="6"/>
  <c r="H1098" i="6"/>
  <c r="I1097" i="6"/>
  <c r="H1097" i="6"/>
  <c r="I1096" i="6"/>
  <c r="H1096" i="6"/>
  <c r="I1095" i="6"/>
  <c r="H1095" i="6"/>
  <c r="I1094" i="6"/>
  <c r="H1094" i="6"/>
  <c r="I1093" i="6"/>
  <c r="H1093" i="6"/>
  <c r="I1092" i="6"/>
  <c r="H1092" i="6"/>
  <c r="I1091" i="6"/>
  <c r="H1091" i="6"/>
  <c r="I1090" i="6"/>
  <c r="H1090" i="6"/>
  <c r="I1089" i="6"/>
  <c r="H1089" i="6"/>
  <c r="I1088" i="6"/>
  <c r="H1088" i="6"/>
  <c r="I1087" i="6"/>
  <c r="H1087" i="6"/>
  <c r="I1086" i="6"/>
  <c r="H1086" i="6"/>
  <c r="I1085" i="6"/>
  <c r="H1085" i="6"/>
  <c r="I1084" i="6"/>
  <c r="H1084" i="6"/>
  <c r="I1083" i="6"/>
  <c r="H1083" i="6"/>
  <c r="I1082" i="6"/>
  <c r="H1082" i="6"/>
  <c r="I1081" i="6"/>
  <c r="H1081" i="6"/>
  <c r="I1080" i="6"/>
  <c r="H1080" i="6"/>
  <c r="I1079" i="6"/>
  <c r="H1079" i="6"/>
  <c r="I1078" i="6"/>
  <c r="H1078" i="6"/>
  <c r="I1077" i="6"/>
  <c r="H1077" i="6"/>
  <c r="I1076" i="6"/>
  <c r="H1076" i="6"/>
  <c r="I1075" i="6"/>
  <c r="H1075" i="6"/>
  <c r="I1074" i="6"/>
  <c r="H1074" i="6"/>
  <c r="I1073" i="6"/>
  <c r="H1073" i="6"/>
  <c r="I1072" i="6"/>
  <c r="H1072" i="6"/>
  <c r="I1071" i="6"/>
  <c r="H1071" i="6"/>
  <c r="I1070" i="6"/>
  <c r="H1070" i="6"/>
  <c r="I1069" i="6"/>
  <c r="H1069" i="6"/>
  <c r="I1068" i="6"/>
  <c r="H1068" i="6"/>
  <c r="I1067" i="6"/>
  <c r="H1067" i="6"/>
  <c r="I1066" i="6"/>
  <c r="H1066" i="6"/>
  <c r="I1065" i="6"/>
  <c r="H1065" i="6"/>
  <c r="I1064" i="6"/>
  <c r="H1064" i="6"/>
  <c r="I1063" i="6"/>
  <c r="H1063" i="6"/>
  <c r="I1062" i="6"/>
  <c r="H1062" i="6"/>
  <c r="I1061" i="6"/>
  <c r="H1061" i="6"/>
  <c r="I1060" i="6"/>
  <c r="H1060" i="6"/>
  <c r="I1059" i="6"/>
  <c r="H1059" i="6"/>
  <c r="I1058" i="6"/>
  <c r="H1058" i="6"/>
  <c r="I1057" i="6"/>
  <c r="H1057" i="6"/>
  <c r="I1056" i="6"/>
  <c r="H1056" i="6"/>
  <c r="I1055" i="6"/>
  <c r="H1055" i="6"/>
  <c r="I1054" i="6"/>
  <c r="H1054" i="6"/>
  <c r="I1053" i="6"/>
  <c r="H1053" i="6"/>
  <c r="I1052" i="6"/>
  <c r="H1052" i="6"/>
  <c r="I1051" i="6"/>
  <c r="H1051" i="6"/>
  <c r="I1050" i="6"/>
  <c r="H1050" i="6"/>
  <c r="I1049" i="6"/>
  <c r="H1049" i="6"/>
  <c r="I1048" i="6"/>
  <c r="H1048" i="6"/>
  <c r="I1047" i="6"/>
  <c r="H1047" i="6"/>
  <c r="I1046" i="6"/>
  <c r="H1046" i="6"/>
  <c r="I1045" i="6"/>
  <c r="H1045" i="6"/>
  <c r="I1044" i="6"/>
  <c r="H1044" i="6"/>
  <c r="B8" i="12" s="1"/>
  <c r="I1043" i="6"/>
  <c r="H1043" i="6"/>
  <c r="I1042" i="6"/>
  <c r="H1042" i="6"/>
  <c r="I1041" i="6"/>
  <c r="H1041" i="6"/>
  <c r="I1040" i="6"/>
  <c r="H1040" i="6"/>
  <c r="I1039" i="6"/>
  <c r="H1039" i="6"/>
  <c r="I1038" i="6"/>
  <c r="H1038" i="6"/>
  <c r="I1037" i="6"/>
  <c r="H1037" i="6"/>
  <c r="I1036" i="6"/>
  <c r="H1036" i="6"/>
  <c r="I1035" i="6"/>
  <c r="H1035" i="6"/>
  <c r="I1034" i="6"/>
  <c r="H1034" i="6"/>
  <c r="I1033" i="6"/>
  <c r="H1033" i="6"/>
  <c r="I1032" i="6"/>
  <c r="H1032" i="6"/>
  <c r="I1031" i="6"/>
  <c r="H1031" i="6"/>
  <c r="I1030" i="6"/>
  <c r="H1030" i="6"/>
  <c r="I1029" i="6"/>
  <c r="H1029" i="6"/>
  <c r="I1028" i="6"/>
  <c r="H1028" i="6"/>
  <c r="I1027" i="6"/>
  <c r="H1027" i="6"/>
  <c r="I1026" i="6"/>
  <c r="H1026" i="6"/>
  <c r="I1025" i="6"/>
  <c r="H1025" i="6"/>
  <c r="I1024" i="6"/>
  <c r="H1024" i="6"/>
  <c r="I1023" i="6"/>
  <c r="H1023" i="6"/>
  <c r="I1022" i="6"/>
  <c r="H1022" i="6"/>
  <c r="I1021" i="6"/>
  <c r="H1021" i="6"/>
  <c r="I1020" i="6"/>
  <c r="H1020" i="6"/>
  <c r="I1019" i="6"/>
  <c r="H1019" i="6"/>
  <c r="I1018" i="6"/>
  <c r="H1018" i="6"/>
  <c r="I1017" i="6"/>
  <c r="H1017" i="6"/>
  <c r="I1016" i="6"/>
  <c r="H1016" i="6"/>
  <c r="I1015" i="6"/>
  <c r="H1015" i="6"/>
  <c r="I1014" i="6"/>
  <c r="H1014" i="6"/>
  <c r="I1013" i="6"/>
  <c r="H1013" i="6"/>
  <c r="I1012" i="6"/>
  <c r="H1012" i="6"/>
  <c r="I1011" i="6"/>
  <c r="H1011" i="6"/>
  <c r="I1010" i="6"/>
  <c r="H1010" i="6"/>
  <c r="I1009" i="6"/>
  <c r="H1009" i="6"/>
  <c r="I1008" i="6"/>
  <c r="H1008" i="6"/>
  <c r="I1007" i="6"/>
  <c r="H1007" i="6"/>
  <c r="I1006" i="6"/>
  <c r="H1006" i="6"/>
  <c r="I1005" i="6"/>
  <c r="H1005" i="6"/>
  <c r="I1004" i="6"/>
  <c r="H1004" i="6"/>
  <c r="I1003" i="6"/>
  <c r="H1003" i="6"/>
  <c r="I1002" i="6"/>
  <c r="H1002" i="6"/>
  <c r="I1001" i="6"/>
  <c r="H1001" i="6"/>
  <c r="I1000" i="6"/>
  <c r="H1000" i="6"/>
  <c r="I999" i="6"/>
  <c r="H999" i="6"/>
  <c r="I998" i="6"/>
  <c r="H998" i="6"/>
  <c r="I997" i="6"/>
  <c r="H997" i="6"/>
  <c r="I996" i="6"/>
  <c r="H996" i="6"/>
  <c r="I995" i="6"/>
  <c r="H995" i="6"/>
  <c r="I994" i="6"/>
  <c r="H994" i="6"/>
  <c r="I993" i="6"/>
  <c r="H993" i="6"/>
  <c r="I992" i="6"/>
  <c r="H992" i="6"/>
  <c r="I991" i="6"/>
  <c r="H991" i="6"/>
  <c r="I990" i="6"/>
  <c r="H990" i="6"/>
  <c r="I989" i="6"/>
  <c r="H989" i="6"/>
  <c r="I988" i="6"/>
  <c r="H988" i="6"/>
  <c r="I987" i="6"/>
  <c r="H987" i="6"/>
  <c r="I986" i="6"/>
  <c r="H986" i="6"/>
  <c r="I985" i="6"/>
  <c r="H985" i="6"/>
  <c r="I984" i="6"/>
  <c r="H984" i="6"/>
  <c r="I983" i="6"/>
  <c r="H983" i="6"/>
  <c r="I982" i="6"/>
  <c r="H982" i="6"/>
  <c r="I981" i="6"/>
  <c r="H981" i="6"/>
  <c r="I980" i="6"/>
  <c r="H980" i="6"/>
  <c r="I979" i="6"/>
  <c r="H979" i="6"/>
  <c r="I978" i="6"/>
  <c r="H978" i="6"/>
  <c r="I977" i="6"/>
  <c r="H977" i="6"/>
  <c r="I976" i="6"/>
  <c r="H976" i="6"/>
  <c r="I975" i="6"/>
  <c r="H975" i="6"/>
  <c r="I974" i="6"/>
  <c r="H974" i="6"/>
  <c r="I973" i="6"/>
  <c r="H973" i="6"/>
  <c r="I972" i="6"/>
  <c r="H972" i="6"/>
  <c r="I971" i="6"/>
  <c r="H971" i="6"/>
  <c r="I970" i="6"/>
  <c r="H970" i="6"/>
  <c r="I969" i="6"/>
  <c r="H969" i="6"/>
  <c r="I968" i="6"/>
  <c r="H968" i="6"/>
  <c r="I967" i="6"/>
  <c r="H967" i="6"/>
  <c r="I966" i="6"/>
  <c r="H966" i="6"/>
  <c r="I965" i="6"/>
  <c r="H965" i="6"/>
  <c r="I964" i="6"/>
  <c r="H964" i="6"/>
  <c r="I963" i="6"/>
  <c r="H963" i="6"/>
  <c r="I962" i="6"/>
  <c r="H962" i="6"/>
  <c r="I961" i="6"/>
  <c r="H961" i="6"/>
  <c r="I960" i="6"/>
  <c r="H960" i="6"/>
  <c r="I959" i="6"/>
  <c r="H959" i="6"/>
  <c r="I958" i="6"/>
  <c r="H958" i="6"/>
  <c r="I957" i="6"/>
  <c r="H957" i="6"/>
  <c r="I956" i="6"/>
  <c r="H956" i="6"/>
  <c r="I955" i="6"/>
  <c r="H955" i="6"/>
  <c r="I954" i="6"/>
  <c r="H954" i="6"/>
  <c r="I953" i="6"/>
  <c r="H953" i="6"/>
  <c r="I952" i="6"/>
  <c r="H952" i="6"/>
  <c r="I951" i="6"/>
  <c r="H951" i="6"/>
  <c r="I950" i="6"/>
  <c r="H950" i="6"/>
  <c r="I949" i="6"/>
  <c r="H949" i="6"/>
  <c r="I948" i="6"/>
  <c r="H948" i="6"/>
  <c r="I947" i="6"/>
  <c r="H947" i="6"/>
  <c r="I946" i="6"/>
  <c r="H946" i="6"/>
  <c r="I945" i="6"/>
  <c r="H945" i="6"/>
  <c r="I944" i="6"/>
  <c r="H944" i="6"/>
  <c r="I943" i="6"/>
  <c r="H943" i="6"/>
  <c r="I942" i="6"/>
  <c r="H942" i="6"/>
  <c r="I941" i="6"/>
  <c r="H941" i="6"/>
  <c r="I940" i="6"/>
  <c r="H940" i="6"/>
  <c r="I939" i="6"/>
  <c r="H939" i="6"/>
  <c r="I938" i="6"/>
  <c r="H938" i="6"/>
  <c r="I937" i="6"/>
  <c r="H937" i="6"/>
  <c r="I936" i="6"/>
  <c r="H936" i="6"/>
  <c r="I935" i="6"/>
  <c r="H935" i="6"/>
  <c r="I934" i="6"/>
  <c r="H934" i="6"/>
  <c r="I933" i="6"/>
  <c r="H933" i="6"/>
  <c r="I932" i="6"/>
  <c r="H932" i="6"/>
  <c r="I931" i="6"/>
  <c r="H931" i="6"/>
  <c r="I930" i="6"/>
  <c r="H930" i="6"/>
  <c r="I929" i="6"/>
  <c r="H929" i="6"/>
  <c r="I928" i="6"/>
  <c r="H928" i="6"/>
  <c r="I927" i="6"/>
  <c r="H927" i="6"/>
  <c r="I926" i="6"/>
  <c r="H926" i="6"/>
  <c r="I925" i="6"/>
  <c r="H925" i="6"/>
  <c r="I924" i="6"/>
  <c r="H924" i="6"/>
  <c r="I923" i="6"/>
  <c r="H923" i="6"/>
  <c r="I922" i="6"/>
  <c r="H922" i="6"/>
  <c r="I921" i="6"/>
  <c r="H921" i="6"/>
  <c r="I920" i="6"/>
  <c r="H920" i="6"/>
  <c r="I919" i="6"/>
  <c r="H919" i="6"/>
  <c r="I918" i="6"/>
  <c r="H918" i="6"/>
  <c r="I917" i="6"/>
  <c r="H917" i="6"/>
  <c r="I916" i="6"/>
  <c r="H916" i="6"/>
  <c r="I915" i="6"/>
  <c r="H915" i="6"/>
  <c r="I914" i="6"/>
  <c r="H914" i="6"/>
  <c r="I913" i="6"/>
  <c r="H913" i="6"/>
  <c r="I912" i="6"/>
  <c r="H912" i="6"/>
  <c r="I911" i="6"/>
  <c r="H911" i="6"/>
  <c r="I910" i="6"/>
  <c r="H910" i="6"/>
  <c r="I909" i="6"/>
  <c r="H909" i="6"/>
  <c r="I908" i="6"/>
  <c r="H908" i="6"/>
  <c r="I907" i="6"/>
  <c r="H907" i="6"/>
  <c r="I906" i="6"/>
  <c r="H906" i="6"/>
  <c r="I905" i="6"/>
  <c r="H905" i="6"/>
  <c r="I904" i="6"/>
  <c r="H904" i="6"/>
  <c r="I903" i="6"/>
  <c r="H903" i="6"/>
  <c r="I902" i="6"/>
  <c r="H902" i="6"/>
  <c r="I901" i="6"/>
  <c r="H901" i="6"/>
  <c r="I900" i="6"/>
  <c r="H900" i="6"/>
  <c r="I899" i="6"/>
  <c r="H899" i="6"/>
  <c r="I898" i="6"/>
  <c r="H898" i="6"/>
  <c r="I897" i="6"/>
  <c r="H897" i="6"/>
  <c r="I896" i="6"/>
  <c r="H896" i="6"/>
  <c r="I895" i="6"/>
  <c r="H895" i="6"/>
  <c r="I894" i="6"/>
  <c r="H894" i="6"/>
  <c r="I893" i="6"/>
  <c r="H893" i="6"/>
  <c r="I892" i="6"/>
  <c r="H892" i="6"/>
  <c r="I891" i="6"/>
  <c r="H891" i="6"/>
  <c r="I890" i="6"/>
  <c r="H890" i="6"/>
  <c r="I889" i="6"/>
  <c r="H889" i="6"/>
  <c r="I888" i="6"/>
  <c r="H888" i="6"/>
  <c r="I887" i="6"/>
  <c r="H887" i="6"/>
  <c r="I886" i="6"/>
  <c r="H886" i="6"/>
  <c r="I885" i="6"/>
  <c r="H885" i="6"/>
  <c r="I884" i="6"/>
  <c r="H884" i="6"/>
  <c r="I883" i="6"/>
  <c r="H883" i="6"/>
  <c r="I882" i="6"/>
  <c r="H882" i="6"/>
  <c r="I881" i="6"/>
  <c r="H881" i="6"/>
  <c r="I880" i="6"/>
  <c r="H880" i="6"/>
  <c r="I879" i="6"/>
  <c r="H879" i="6"/>
  <c r="I878" i="6"/>
  <c r="H878" i="6"/>
  <c r="I877" i="6"/>
  <c r="H877" i="6"/>
  <c r="I876" i="6"/>
  <c r="H876" i="6"/>
  <c r="I875" i="6"/>
  <c r="H875" i="6"/>
  <c r="I874" i="6"/>
  <c r="H874" i="6"/>
  <c r="I873" i="6"/>
  <c r="H873" i="6"/>
  <c r="I872" i="6"/>
  <c r="H872" i="6"/>
  <c r="I871" i="6"/>
  <c r="H871" i="6"/>
  <c r="I870" i="6"/>
  <c r="H870" i="6"/>
  <c r="I869" i="6"/>
  <c r="H869" i="6"/>
  <c r="I868" i="6"/>
  <c r="H868" i="6"/>
  <c r="I867" i="6"/>
  <c r="H867" i="6"/>
  <c r="I866" i="6"/>
  <c r="H866" i="6"/>
  <c r="I865" i="6"/>
  <c r="H865" i="6"/>
  <c r="I864" i="6"/>
  <c r="H864" i="6"/>
  <c r="I863" i="6"/>
  <c r="H863" i="6"/>
  <c r="I862" i="6"/>
  <c r="H862" i="6"/>
  <c r="I861" i="6"/>
  <c r="H861" i="6"/>
  <c r="I860" i="6"/>
  <c r="H860" i="6"/>
  <c r="I859" i="6"/>
  <c r="H859" i="6"/>
  <c r="I858" i="6"/>
  <c r="H858" i="6"/>
  <c r="I857" i="6"/>
  <c r="H857" i="6"/>
  <c r="I856" i="6"/>
  <c r="H856" i="6"/>
  <c r="I855" i="6"/>
  <c r="H855" i="6"/>
  <c r="I854" i="6"/>
  <c r="H854" i="6"/>
  <c r="I853" i="6"/>
  <c r="H853" i="6"/>
  <c r="I852" i="6"/>
  <c r="H852" i="6"/>
  <c r="I851" i="6"/>
  <c r="H851" i="6"/>
  <c r="I850" i="6"/>
  <c r="H850" i="6"/>
  <c r="I849" i="6"/>
  <c r="H849" i="6"/>
  <c r="I848" i="6"/>
  <c r="H848" i="6"/>
  <c r="I847" i="6"/>
  <c r="H847" i="6"/>
  <c r="I846" i="6"/>
  <c r="H846" i="6"/>
  <c r="I845" i="6"/>
  <c r="H845" i="6"/>
  <c r="I844" i="6"/>
  <c r="H844" i="6"/>
  <c r="I843" i="6"/>
  <c r="H843" i="6"/>
  <c r="I842" i="6"/>
  <c r="H842" i="6"/>
  <c r="I841" i="6"/>
  <c r="H841" i="6"/>
  <c r="I840" i="6"/>
  <c r="H840" i="6"/>
  <c r="I839" i="6"/>
  <c r="H839" i="6"/>
  <c r="I838" i="6"/>
  <c r="H838" i="6"/>
  <c r="I837" i="6"/>
  <c r="H837" i="6"/>
  <c r="I836" i="6"/>
  <c r="H836" i="6"/>
  <c r="I835" i="6"/>
  <c r="H835" i="6"/>
  <c r="I834" i="6"/>
  <c r="H834" i="6"/>
  <c r="I833" i="6"/>
  <c r="H833" i="6"/>
  <c r="I832" i="6"/>
  <c r="H832" i="6"/>
  <c r="I831" i="6"/>
  <c r="H831" i="6"/>
  <c r="I830" i="6"/>
  <c r="H830" i="6"/>
  <c r="I829" i="6"/>
  <c r="H829" i="6"/>
  <c r="I828" i="6"/>
  <c r="H828" i="6"/>
  <c r="I827" i="6"/>
  <c r="H827" i="6"/>
  <c r="I826" i="6"/>
  <c r="H826" i="6"/>
  <c r="I825" i="6"/>
  <c r="H825" i="6"/>
  <c r="I824" i="6"/>
  <c r="H824" i="6"/>
  <c r="I823" i="6"/>
  <c r="H823" i="6"/>
  <c r="I822" i="6"/>
  <c r="H822" i="6"/>
  <c r="I821" i="6"/>
  <c r="H821" i="6"/>
  <c r="I820" i="6"/>
  <c r="H820" i="6"/>
  <c r="I819" i="6"/>
  <c r="H819" i="6"/>
  <c r="I818" i="6"/>
  <c r="H818" i="6"/>
  <c r="I817" i="6"/>
  <c r="H817" i="6"/>
  <c r="I816" i="6"/>
  <c r="H816" i="6"/>
  <c r="I815" i="6"/>
  <c r="H815" i="6"/>
  <c r="I814" i="6"/>
  <c r="H814" i="6"/>
  <c r="I813" i="6"/>
  <c r="H813" i="6"/>
  <c r="I812" i="6"/>
  <c r="H812" i="6"/>
  <c r="I811" i="6"/>
  <c r="H811" i="6"/>
  <c r="I810" i="6"/>
  <c r="H810" i="6"/>
  <c r="I809" i="6"/>
  <c r="H809" i="6"/>
  <c r="I808" i="6"/>
  <c r="H808" i="6"/>
  <c r="I807" i="6"/>
  <c r="H807" i="6"/>
  <c r="I806" i="6"/>
  <c r="H806" i="6"/>
  <c r="I805" i="6"/>
  <c r="H805" i="6"/>
  <c r="I804" i="6"/>
  <c r="H804" i="6"/>
  <c r="I803" i="6"/>
  <c r="H803" i="6"/>
  <c r="I802" i="6"/>
  <c r="H802" i="6"/>
  <c r="I801" i="6"/>
  <c r="H801" i="6"/>
  <c r="I800" i="6"/>
  <c r="H800" i="6"/>
  <c r="I799" i="6"/>
  <c r="H799" i="6"/>
  <c r="I798" i="6"/>
  <c r="H798" i="6"/>
  <c r="I797" i="6"/>
  <c r="H797" i="6"/>
  <c r="I796" i="6"/>
  <c r="H796" i="6"/>
  <c r="I795" i="6"/>
  <c r="H795" i="6"/>
  <c r="I794" i="6"/>
  <c r="H794" i="6"/>
  <c r="I793" i="6"/>
  <c r="H793" i="6"/>
  <c r="I792" i="6"/>
  <c r="H792" i="6"/>
  <c r="I791" i="6"/>
  <c r="H791" i="6"/>
  <c r="I790" i="6"/>
  <c r="H790" i="6"/>
  <c r="I789" i="6"/>
  <c r="H789" i="6"/>
  <c r="I788" i="6"/>
  <c r="H788" i="6"/>
  <c r="I787" i="6"/>
  <c r="H787" i="6"/>
  <c r="I786" i="6"/>
  <c r="H786" i="6"/>
  <c r="I785" i="6"/>
  <c r="H785" i="6"/>
  <c r="I784" i="6"/>
  <c r="H784" i="6"/>
  <c r="I783" i="6"/>
  <c r="H783" i="6"/>
  <c r="I782" i="6"/>
  <c r="H782" i="6"/>
  <c r="I781" i="6"/>
  <c r="H781" i="6"/>
  <c r="I780" i="6"/>
  <c r="H780" i="6"/>
  <c r="I779" i="6"/>
  <c r="H779" i="6"/>
  <c r="I778" i="6"/>
  <c r="H778" i="6"/>
  <c r="I777" i="6"/>
  <c r="H777" i="6"/>
  <c r="I776" i="6"/>
  <c r="H776" i="6"/>
  <c r="I775" i="6"/>
  <c r="H775" i="6"/>
  <c r="I774" i="6"/>
  <c r="H774" i="6"/>
  <c r="I773" i="6"/>
  <c r="H773" i="6"/>
  <c r="I772" i="6"/>
  <c r="H772" i="6"/>
  <c r="I771" i="6"/>
  <c r="H771" i="6"/>
  <c r="I770" i="6"/>
  <c r="H770" i="6"/>
  <c r="I769" i="6"/>
  <c r="H769" i="6"/>
  <c r="I768" i="6"/>
  <c r="H768" i="6"/>
  <c r="I767" i="6"/>
  <c r="H767" i="6"/>
  <c r="I766" i="6"/>
  <c r="H766" i="6"/>
  <c r="I765" i="6"/>
  <c r="H765" i="6"/>
  <c r="I764" i="6"/>
  <c r="H764" i="6"/>
  <c r="I763" i="6"/>
  <c r="H763" i="6"/>
  <c r="I762" i="6"/>
  <c r="H762" i="6"/>
  <c r="I761" i="6"/>
  <c r="H761" i="6"/>
  <c r="I760" i="6"/>
  <c r="H760" i="6"/>
  <c r="I759" i="6"/>
  <c r="H759" i="6"/>
  <c r="I758" i="6"/>
  <c r="H758" i="6"/>
  <c r="I757" i="6"/>
  <c r="H757" i="6"/>
  <c r="I756" i="6"/>
  <c r="H756" i="6"/>
  <c r="I755" i="6"/>
  <c r="H755" i="6"/>
  <c r="I754" i="6"/>
  <c r="H754" i="6"/>
  <c r="I753" i="6"/>
  <c r="H753" i="6"/>
  <c r="I752" i="6"/>
  <c r="H752" i="6"/>
  <c r="I751" i="6"/>
  <c r="H751" i="6"/>
  <c r="I750" i="6"/>
  <c r="H750" i="6"/>
  <c r="I749" i="6"/>
  <c r="H749" i="6"/>
  <c r="B7" i="12" s="1"/>
  <c r="I748" i="6"/>
  <c r="H748" i="6"/>
  <c r="I747" i="6"/>
  <c r="H747" i="6"/>
  <c r="I746" i="6"/>
  <c r="H746" i="6"/>
  <c r="I745" i="6"/>
  <c r="H745" i="6"/>
  <c r="I744" i="6"/>
  <c r="H744" i="6"/>
  <c r="I743" i="6"/>
  <c r="H743" i="6"/>
  <c r="I742" i="6"/>
  <c r="H742" i="6"/>
  <c r="I741" i="6"/>
  <c r="H741" i="6"/>
  <c r="I740" i="6"/>
  <c r="H740" i="6"/>
  <c r="I739" i="6"/>
  <c r="H739" i="6"/>
  <c r="I738" i="6"/>
  <c r="H738" i="6"/>
  <c r="I737" i="6"/>
  <c r="H737" i="6"/>
  <c r="I736" i="6"/>
  <c r="H736" i="6"/>
  <c r="I735" i="6"/>
  <c r="H735" i="6"/>
  <c r="I734" i="6"/>
  <c r="H734" i="6"/>
  <c r="I733" i="6"/>
  <c r="H733" i="6"/>
  <c r="I732" i="6"/>
  <c r="H732" i="6"/>
  <c r="I731" i="6"/>
  <c r="H731" i="6"/>
  <c r="I730" i="6"/>
  <c r="H730" i="6"/>
  <c r="I729" i="6"/>
  <c r="H729" i="6"/>
  <c r="I728" i="6"/>
  <c r="H728" i="6"/>
  <c r="I727" i="6"/>
  <c r="H727" i="6"/>
  <c r="I726" i="6"/>
  <c r="H726" i="6"/>
  <c r="I725" i="6"/>
  <c r="H725" i="6"/>
  <c r="I724" i="6"/>
  <c r="H724" i="6"/>
  <c r="I723" i="6"/>
  <c r="H723" i="6"/>
  <c r="I722" i="6"/>
  <c r="H722" i="6"/>
  <c r="I721" i="6"/>
  <c r="H721" i="6"/>
  <c r="I720" i="6"/>
  <c r="H720" i="6"/>
  <c r="I719" i="6"/>
  <c r="H719" i="6"/>
  <c r="I718" i="6"/>
  <c r="H718" i="6"/>
  <c r="I717" i="6"/>
  <c r="H717" i="6"/>
  <c r="I716" i="6"/>
  <c r="H716" i="6"/>
  <c r="I715" i="6"/>
  <c r="H715" i="6"/>
  <c r="I714" i="6"/>
  <c r="H714" i="6"/>
  <c r="I713" i="6"/>
  <c r="H713" i="6"/>
  <c r="I712" i="6"/>
  <c r="H712" i="6"/>
  <c r="I711" i="6"/>
  <c r="H711" i="6"/>
  <c r="I710" i="6"/>
  <c r="H710" i="6"/>
  <c r="I709" i="6"/>
  <c r="H709" i="6"/>
  <c r="I708" i="6"/>
  <c r="H708" i="6"/>
  <c r="I707" i="6"/>
  <c r="H707" i="6"/>
  <c r="I706" i="6"/>
  <c r="H706" i="6"/>
  <c r="I705" i="6"/>
  <c r="H705" i="6"/>
  <c r="I704" i="6"/>
  <c r="H704" i="6"/>
  <c r="I703" i="6"/>
  <c r="H703" i="6"/>
  <c r="I702" i="6"/>
  <c r="H702" i="6"/>
  <c r="I701" i="6"/>
  <c r="H701" i="6"/>
  <c r="I700" i="6"/>
  <c r="H700" i="6"/>
  <c r="I699" i="6"/>
  <c r="H699" i="6"/>
  <c r="I698" i="6"/>
  <c r="H698" i="6"/>
  <c r="I697" i="6"/>
  <c r="H697" i="6"/>
  <c r="I696" i="6"/>
  <c r="H696" i="6"/>
  <c r="I695" i="6"/>
  <c r="H695" i="6"/>
  <c r="I694" i="6"/>
  <c r="H694" i="6"/>
  <c r="I693" i="6"/>
  <c r="H693" i="6"/>
  <c r="I692" i="6"/>
  <c r="H692" i="6"/>
  <c r="I691" i="6"/>
  <c r="H691" i="6"/>
  <c r="I690" i="6"/>
  <c r="H690" i="6"/>
  <c r="I689" i="6"/>
  <c r="H689" i="6"/>
  <c r="I688" i="6"/>
  <c r="H688" i="6"/>
  <c r="I687" i="6"/>
  <c r="H687" i="6"/>
  <c r="I686" i="6"/>
  <c r="H686" i="6"/>
  <c r="I685" i="6"/>
  <c r="H685" i="6"/>
  <c r="I684" i="6"/>
  <c r="H684" i="6"/>
  <c r="I683" i="6"/>
  <c r="H683" i="6"/>
  <c r="I682" i="6"/>
  <c r="H682" i="6"/>
  <c r="I681" i="6"/>
  <c r="H681" i="6"/>
  <c r="I680" i="6"/>
  <c r="H680" i="6"/>
  <c r="I679" i="6"/>
  <c r="H679" i="6"/>
  <c r="I678" i="6"/>
  <c r="H678" i="6"/>
  <c r="I677" i="6"/>
  <c r="H677" i="6"/>
  <c r="I676" i="6"/>
  <c r="H676" i="6"/>
  <c r="I675" i="6"/>
  <c r="H675" i="6"/>
  <c r="I674" i="6"/>
  <c r="H674" i="6"/>
  <c r="I673" i="6"/>
  <c r="H673" i="6"/>
  <c r="I672" i="6"/>
  <c r="H672" i="6"/>
  <c r="I671" i="6"/>
  <c r="H671" i="6"/>
  <c r="I670" i="6"/>
  <c r="H670" i="6"/>
  <c r="I669" i="6"/>
  <c r="H669" i="6"/>
  <c r="I668" i="6"/>
  <c r="H668" i="6"/>
  <c r="I667" i="6"/>
  <c r="H667" i="6"/>
  <c r="I666" i="6"/>
  <c r="H666" i="6"/>
  <c r="I665" i="6"/>
  <c r="H665" i="6"/>
  <c r="I664" i="6"/>
  <c r="H664" i="6"/>
  <c r="I663" i="6"/>
  <c r="H663" i="6"/>
  <c r="I662" i="6"/>
  <c r="H662" i="6"/>
  <c r="I661" i="6"/>
  <c r="H661" i="6"/>
  <c r="I660" i="6"/>
  <c r="H660" i="6"/>
  <c r="I659" i="6"/>
  <c r="H659" i="6"/>
  <c r="I658" i="6"/>
  <c r="H658" i="6"/>
  <c r="I657" i="6"/>
  <c r="H657" i="6"/>
  <c r="I656" i="6"/>
  <c r="H656" i="6"/>
  <c r="I655" i="6"/>
  <c r="H655" i="6"/>
  <c r="I654" i="6"/>
  <c r="H654" i="6"/>
  <c r="I653" i="6"/>
  <c r="H653" i="6"/>
  <c r="I652" i="6"/>
  <c r="H652" i="6"/>
  <c r="I651" i="6"/>
  <c r="H651" i="6"/>
  <c r="I650" i="6"/>
  <c r="H650" i="6"/>
  <c r="I649" i="6"/>
  <c r="H649" i="6"/>
  <c r="I648" i="6"/>
  <c r="H648" i="6"/>
  <c r="I647" i="6"/>
  <c r="H647" i="6"/>
  <c r="I646" i="6"/>
  <c r="H646" i="6"/>
  <c r="I645" i="6"/>
  <c r="H645" i="6"/>
  <c r="I644" i="6"/>
  <c r="H644" i="6"/>
  <c r="I643" i="6"/>
  <c r="H643" i="6"/>
  <c r="I642" i="6"/>
  <c r="H642" i="6"/>
  <c r="I641" i="6"/>
  <c r="H641" i="6"/>
  <c r="I640" i="6"/>
  <c r="H640" i="6"/>
  <c r="I639" i="6"/>
  <c r="H639" i="6"/>
  <c r="I638" i="6"/>
  <c r="H638" i="6"/>
  <c r="I637" i="6"/>
  <c r="H637" i="6"/>
  <c r="I636" i="6"/>
  <c r="H636" i="6"/>
  <c r="I635" i="6"/>
  <c r="H635" i="6"/>
  <c r="I634" i="6"/>
  <c r="H634" i="6"/>
  <c r="I633" i="6"/>
  <c r="H633" i="6"/>
  <c r="I632" i="6"/>
  <c r="H632" i="6"/>
  <c r="I631" i="6"/>
  <c r="H631" i="6"/>
  <c r="I630" i="6"/>
  <c r="H630" i="6"/>
  <c r="I629" i="6"/>
  <c r="H629" i="6"/>
  <c r="I628" i="6"/>
  <c r="H628" i="6"/>
  <c r="I627" i="6"/>
  <c r="H627" i="6"/>
  <c r="I626" i="6"/>
  <c r="H626" i="6"/>
  <c r="I625" i="6"/>
  <c r="H625" i="6"/>
  <c r="I624" i="6"/>
  <c r="H624" i="6"/>
  <c r="I623" i="6"/>
  <c r="H623" i="6"/>
  <c r="I622" i="6"/>
  <c r="H622" i="6"/>
  <c r="I621" i="6"/>
  <c r="H621" i="6"/>
  <c r="I620" i="6"/>
  <c r="H620" i="6"/>
  <c r="I619" i="6"/>
  <c r="H619" i="6"/>
  <c r="I618" i="6"/>
  <c r="H618" i="6"/>
  <c r="I617" i="6"/>
  <c r="H617" i="6"/>
  <c r="I616" i="6"/>
  <c r="H616" i="6"/>
  <c r="I615" i="6"/>
  <c r="H615" i="6"/>
  <c r="I614" i="6"/>
  <c r="H614" i="6"/>
  <c r="I613" i="6"/>
  <c r="H613" i="6"/>
  <c r="I612" i="6"/>
  <c r="H612" i="6"/>
  <c r="I611" i="6"/>
  <c r="H611" i="6"/>
  <c r="I610" i="6"/>
  <c r="H610" i="6"/>
  <c r="I609" i="6"/>
  <c r="H609" i="6"/>
  <c r="I608" i="6"/>
  <c r="H608" i="6"/>
  <c r="I607" i="6"/>
  <c r="H607" i="6"/>
  <c r="I606" i="6"/>
  <c r="H606" i="6"/>
  <c r="I605" i="6"/>
  <c r="H605" i="6"/>
  <c r="I604" i="6"/>
  <c r="H604" i="6"/>
  <c r="I603" i="6"/>
  <c r="H603" i="6"/>
  <c r="I602" i="6"/>
  <c r="H602" i="6"/>
  <c r="I601" i="6"/>
  <c r="H601" i="6"/>
  <c r="I600" i="6"/>
  <c r="H600" i="6"/>
  <c r="I599" i="6"/>
  <c r="H599" i="6"/>
  <c r="I598" i="6"/>
  <c r="H598" i="6"/>
  <c r="I597" i="6"/>
  <c r="H597" i="6"/>
  <c r="I596" i="6"/>
  <c r="H596" i="6"/>
  <c r="I595" i="6"/>
  <c r="H595" i="6"/>
  <c r="I594" i="6"/>
  <c r="H594" i="6"/>
  <c r="I593" i="6"/>
  <c r="H593" i="6"/>
  <c r="I592" i="6"/>
  <c r="H592" i="6"/>
  <c r="I591" i="6"/>
  <c r="H591" i="6"/>
  <c r="I590" i="6"/>
  <c r="H590" i="6"/>
  <c r="I589" i="6"/>
  <c r="H589" i="6"/>
  <c r="I588" i="6"/>
  <c r="H588" i="6"/>
  <c r="I587" i="6"/>
  <c r="H587" i="6"/>
  <c r="I586" i="6"/>
  <c r="H586" i="6"/>
  <c r="I585" i="6"/>
  <c r="H585" i="6"/>
  <c r="I584" i="6"/>
  <c r="H584" i="6"/>
  <c r="I583" i="6"/>
  <c r="H583" i="6"/>
  <c r="I582" i="6"/>
  <c r="H582" i="6"/>
  <c r="I581" i="6"/>
  <c r="H581" i="6"/>
  <c r="I580" i="6"/>
  <c r="H580" i="6"/>
  <c r="I579" i="6"/>
  <c r="H579" i="6"/>
  <c r="I578" i="6"/>
  <c r="H578" i="6"/>
  <c r="I577" i="6"/>
  <c r="H577" i="6"/>
  <c r="I576" i="6"/>
  <c r="H576" i="6"/>
  <c r="I575" i="6"/>
  <c r="H575" i="6"/>
  <c r="I574" i="6"/>
  <c r="H574" i="6"/>
  <c r="I573" i="6"/>
  <c r="H573" i="6"/>
  <c r="I572" i="6"/>
  <c r="H572" i="6"/>
  <c r="I571" i="6"/>
  <c r="H571" i="6"/>
  <c r="I570" i="6"/>
  <c r="H570" i="6"/>
  <c r="I569" i="6"/>
  <c r="H569" i="6"/>
  <c r="I568" i="6"/>
  <c r="H568" i="6"/>
  <c r="I567" i="6"/>
  <c r="H567" i="6"/>
  <c r="I566" i="6"/>
  <c r="H566" i="6"/>
  <c r="I565" i="6"/>
  <c r="H565" i="6"/>
  <c r="I564" i="6"/>
  <c r="H564" i="6"/>
  <c r="I563" i="6"/>
  <c r="H563" i="6"/>
  <c r="I562" i="6"/>
  <c r="H562" i="6"/>
  <c r="I561" i="6"/>
  <c r="H561" i="6"/>
  <c r="I560" i="6"/>
  <c r="H560" i="6"/>
  <c r="I559" i="6"/>
  <c r="H559" i="6"/>
  <c r="I558" i="6"/>
  <c r="H558" i="6"/>
  <c r="I557" i="6"/>
  <c r="H557" i="6"/>
  <c r="I556" i="6"/>
  <c r="H556" i="6"/>
  <c r="I555" i="6"/>
  <c r="H555" i="6"/>
  <c r="I554" i="6"/>
  <c r="H554" i="6"/>
  <c r="I553" i="6"/>
  <c r="H553" i="6"/>
  <c r="I552" i="6"/>
  <c r="H552" i="6"/>
  <c r="I551" i="6"/>
  <c r="H551" i="6"/>
  <c r="I550" i="6"/>
  <c r="H550" i="6"/>
  <c r="I549" i="6"/>
  <c r="H549" i="6"/>
  <c r="I548" i="6"/>
  <c r="H548" i="6"/>
  <c r="I547" i="6"/>
  <c r="H547" i="6"/>
  <c r="I546" i="6"/>
  <c r="H546" i="6"/>
  <c r="I545" i="6"/>
  <c r="H545" i="6"/>
  <c r="I544" i="6"/>
  <c r="H544" i="6"/>
  <c r="I543" i="6"/>
  <c r="H543" i="6"/>
  <c r="I542" i="6"/>
  <c r="H542" i="6"/>
  <c r="I541" i="6"/>
  <c r="H541" i="6"/>
  <c r="I540" i="6"/>
  <c r="H540" i="6"/>
  <c r="I539" i="6"/>
  <c r="H539" i="6"/>
  <c r="I538" i="6"/>
  <c r="H538" i="6"/>
  <c r="I537" i="6"/>
  <c r="H537" i="6"/>
  <c r="I536" i="6"/>
  <c r="H536" i="6"/>
  <c r="I535" i="6"/>
  <c r="H535" i="6"/>
  <c r="I534" i="6"/>
  <c r="H534" i="6"/>
  <c r="I533" i="6"/>
  <c r="H533" i="6"/>
  <c r="I532" i="6"/>
  <c r="H532" i="6"/>
  <c r="I531" i="6"/>
  <c r="H531" i="6"/>
  <c r="I530" i="6"/>
  <c r="H530" i="6"/>
  <c r="I529" i="6"/>
  <c r="H529" i="6"/>
  <c r="I528" i="6"/>
  <c r="H528" i="6"/>
  <c r="I527" i="6"/>
  <c r="H527" i="6"/>
  <c r="I526" i="6"/>
  <c r="H526" i="6"/>
  <c r="I525" i="6"/>
  <c r="H525" i="6"/>
  <c r="I524" i="6"/>
  <c r="H524" i="6"/>
  <c r="I523" i="6"/>
  <c r="H523" i="6"/>
  <c r="I522" i="6"/>
  <c r="H522" i="6"/>
  <c r="I521" i="6"/>
  <c r="H521" i="6"/>
  <c r="I520" i="6"/>
  <c r="H520" i="6"/>
  <c r="I519" i="6"/>
  <c r="H519" i="6"/>
  <c r="I518" i="6"/>
  <c r="H518" i="6"/>
  <c r="I517" i="6"/>
  <c r="H517" i="6"/>
  <c r="I516" i="6"/>
  <c r="H516" i="6"/>
  <c r="I515" i="6"/>
  <c r="H515" i="6"/>
  <c r="I514" i="6"/>
  <c r="H514" i="6"/>
  <c r="I513" i="6"/>
  <c r="H513" i="6"/>
  <c r="I512" i="6"/>
  <c r="H512" i="6"/>
  <c r="I511" i="6"/>
  <c r="H511" i="6"/>
  <c r="I510" i="6"/>
  <c r="H510" i="6"/>
  <c r="I509" i="6"/>
  <c r="H509" i="6"/>
  <c r="I508" i="6"/>
  <c r="H508" i="6"/>
  <c r="I507" i="6"/>
  <c r="H507" i="6"/>
  <c r="I506" i="6"/>
  <c r="H506" i="6"/>
  <c r="I505" i="6"/>
  <c r="H505" i="6"/>
  <c r="I504" i="6"/>
  <c r="H504" i="6"/>
  <c r="I503" i="6"/>
  <c r="H503" i="6"/>
  <c r="I502" i="6"/>
  <c r="H502" i="6"/>
  <c r="I501" i="6"/>
  <c r="H501" i="6"/>
  <c r="I500" i="6"/>
  <c r="H500" i="6"/>
  <c r="I499" i="6"/>
  <c r="H499" i="6"/>
  <c r="I498" i="6"/>
  <c r="H498" i="6"/>
  <c r="I497" i="6"/>
  <c r="H497" i="6"/>
  <c r="I496" i="6"/>
  <c r="H496" i="6"/>
  <c r="I495" i="6"/>
  <c r="H495" i="6"/>
  <c r="I494" i="6"/>
  <c r="H494" i="6"/>
  <c r="I493" i="6"/>
  <c r="H493" i="6"/>
  <c r="I492" i="6"/>
  <c r="H492" i="6"/>
  <c r="I491" i="6"/>
  <c r="H491" i="6"/>
  <c r="I490" i="6"/>
  <c r="H490" i="6"/>
  <c r="I489" i="6"/>
  <c r="H489" i="6"/>
  <c r="I488" i="6"/>
  <c r="H488" i="6"/>
  <c r="I487" i="6"/>
  <c r="H487" i="6"/>
  <c r="I486" i="6"/>
  <c r="H486" i="6"/>
  <c r="I485" i="6"/>
  <c r="H485" i="6"/>
  <c r="I484" i="6"/>
  <c r="H484" i="6"/>
  <c r="I483" i="6"/>
  <c r="H483" i="6"/>
  <c r="I482" i="6"/>
  <c r="H482" i="6"/>
  <c r="I481" i="6"/>
  <c r="H481" i="6"/>
  <c r="I480" i="6"/>
  <c r="H480" i="6"/>
  <c r="I479" i="6"/>
  <c r="H479" i="6"/>
  <c r="I478" i="6"/>
  <c r="H478" i="6"/>
  <c r="I477" i="6"/>
  <c r="H477" i="6"/>
  <c r="I476" i="6"/>
  <c r="H476" i="6"/>
  <c r="I475" i="6"/>
  <c r="H475" i="6"/>
  <c r="B6" i="12" s="1"/>
  <c r="I474" i="6"/>
  <c r="H474" i="6"/>
  <c r="I473" i="6"/>
  <c r="H473" i="6"/>
  <c r="I472" i="6"/>
  <c r="H472" i="6"/>
  <c r="I471" i="6"/>
  <c r="H471" i="6"/>
  <c r="I470" i="6"/>
  <c r="H470" i="6"/>
  <c r="I469" i="6"/>
  <c r="H469" i="6"/>
  <c r="I468" i="6"/>
  <c r="H468" i="6"/>
  <c r="I467" i="6"/>
  <c r="H467" i="6"/>
  <c r="I466" i="6"/>
  <c r="H466" i="6"/>
  <c r="I465" i="6"/>
  <c r="H465" i="6"/>
  <c r="I464" i="6"/>
  <c r="H464" i="6"/>
  <c r="I463" i="6"/>
  <c r="H463" i="6"/>
  <c r="I462" i="6"/>
  <c r="H462" i="6"/>
  <c r="I461" i="6"/>
  <c r="H461" i="6"/>
  <c r="I460" i="6"/>
  <c r="H460" i="6"/>
  <c r="I459" i="6"/>
  <c r="H459" i="6"/>
  <c r="I458" i="6"/>
  <c r="H458" i="6"/>
  <c r="I457" i="6"/>
  <c r="H457" i="6"/>
  <c r="I456" i="6"/>
  <c r="H456" i="6"/>
  <c r="I455" i="6"/>
  <c r="H455" i="6"/>
  <c r="I454" i="6"/>
  <c r="H454" i="6"/>
  <c r="I453" i="6"/>
  <c r="H453" i="6"/>
  <c r="I452" i="6"/>
  <c r="H452" i="6"/>
  <c r="I451" i="6"/>
  <c r="H451" i="6"/>
  <c r="I450" i="6"/>
  <c r="H450" i="6"/>
  <c r="I449" i="6"/>
  <c r="H449" i="6"/>
  <c r="I448" i="6"/>
  <c r="H448" i="6"/>
  <c r="I447" i="6"/>
  <c r="H447" i="6"/>
  <c r="I446" i="6"/>
  <c r="H446" i="6"/>
  <c r="I445" i="6"/>
  <c r="H445" i="6"/>
  <c r="I444" i="6"/>
  <c r="H444" i="6"/>
  <c r="I443" i="6"/>
  <c r="H443" i="6"/>
  <c r="I442" i="6"/>
  <c r="H442" i="6"/>
  <c r="I441" i="6"/>
  <c r="H441" i="6"/>
  <c r="I440" i="6"/>
  <c r="H440" i="6"/>
  <c r="I439" i="6"/>
  <c r="H439" i="6"/>
  <c r="I438" i="6"/>
  <c r="H438" i="6"/>
  <c r="I437" i="6"/>
  <c r="H437" i="6"/>
  <c r="I436" i="6"/>
  <c r="H436" i="6"/>
  <c r="I435" i="6"/>
  <c r="H435" i="6"/>
  <c r="I434" i="6"/>
  <c r="H434" i="6"/>
  <c r="I433" i="6"/>
  <c r="H433" i="6"/>
  <c r="I432" i="6"/>
  <c r="H432" i="6"/>
  <c r="I431" i="6"/>
  <c r="H431" i="6"/>
  <c r="I430" i="6"/>
  <c r="H430" i="6"/>
  <c r="I429" i="6"/>
  <c r="H429" i="6"/>
  <c r="I428" i="6"/>
  <c r="H428" i="6"/>
  <c r="I427" i="6"/>
  <c r="H427" i="6"/>
  <c r="I426" i="6"/>
  <c r="H426" i="6"/>
  <c r="I425" i="6"/>
  <c r="H425" i="6"/>
  <c r="I424" i="6"/>
  <c r="H424" i="6"/>
  <c r="I423" i="6"/>
  <c r="H423" i="6"/>
  <c r="I422" i="6"/>
  <c r="H422" i="6"/>
  <c r="I421" i="6"/>
  <c r="H421" i="6"/>
  <c r="I420" i="6"/>
  <c r="H420" i="6"/>
  <c r="I419" i="6"/>
  <c r="H419" i="6"/>
  <c r="I418" i="6"/>
  <c r="H418" i="6"/>
  <c r="I417" i="6"/>
  <c r="H417" i="6"/>
  <c r="I416" i="6"/>
  <c r="H416" i="6"/>
  <c r="I415" i="6"/>
  <c r="H415" i="6"/>
  <c r="I414" i="6"/>
  <c r="H414" i="6"/>
  <c r="I413" i="6"/>
  <c r="H413" i="6"/>
  <c r="I412" i="6"/>
  <c r="H412" i="6"/>
  <c r="I411" i="6"/>
  <c r="H411" i="6"/>
  <c r="I410" i="6"/>
  <c r="H410" i="6"/>
  <c r="I409" i="6"/>
  <c r="H409" i="6"/>
  <c r="I408" i="6"/>
  <c r="H408" i="6"/>
  <c r="I407" i="6"/>
  <c r="H407" i="6"/>
  <c r="I406" i="6"/>
  <c r="H406" i="6"/>
  <c r="I405" i="6"/>
  <c r="H405" i="6"/>
  <c r="I404" i="6"/>
  <c r="H404" i="6"/>
  <c r="I403" i="6"/>
  <c r="H403" i="6"/>
  <c r="I402" i="6"/>
  <c r="H402" i="6"/>
  <c r="I401" i="6"/>
  <c r="H401" i="6"/>
  <c r="I400" i="6"/>
  <c r="H400" i="6"/>
  <c r="I399" i="6"/>
  <c r="H399" i="6"/>
  <c r="I398" i="6"/>
  <c r="H398" i="6"/>
  <c r="I397" i="6"/>
  <c r="H397" i="6"/>
  <c r="I396" i="6"/>
  <c r="H396" i="6"/>
  <c r="I395" i="6"/>
  <c r="H395" i="6"/>
  <c r="I394" i="6"/>
  <c r="H394" i="6"/>
  <c r="I393" i="6"/>
  <c r="H393" i="6"/>
  <c r="I392" i="6"/>
  <c r="H392" i="6"/>
  <c r="I391" i="6"/>
  <c r="H391" i="6"/>
  <c r="I390" i="6"/>
  <c r="H390" i="6"/>
  <c r="I389" i="6"/>
  <c r="H389" i="6"/>
  <c r="I388" i="6"/>
  <c r="H388" i="6"/>
  <c r="I387" i="6"/>
  <c r="H387" i="6"/>
  <c r="I386" i="6"/>
  <c r="H386" i="6"/>
  <c r="I385" i="6"/>
  <c r="H385" i="6"/>
  <c r="I384" i="6"/>
  <c r="H384" i="6"/>
  <c r="I383" i="6"/>
  <c r="H383" i="6"/>
  <c r="I382" i="6"/>
  <c r="H382" i="6"/>
  <c r="I381" i="6"/>
  <c r="H381" i="6"/>
  <c r="I380" i="6"/>
  <c r="H380" i="6"/>
  <c r="I379" i="6"/>
  <c r="H379" i="6"/>
  <c r="I378" i="6"/>
  <c r="H378" i="6"/>
  <c r="I377" i="6"/>
  <c r="H377" i="6"/>
  <c r="I376" i="6"/>
  <c r="H376" i="6"/>
  <c r="I375" i="6"/>
  <c r="H375" i="6"/>
  <c r="I374" i="6"/>
  <c r="H374" i="6"/>
  <c r="I373" i="6"/>
  <c r="H373" i="6"/>
  <c r="I372" i="6"/>
  <c r="H372" i="6"/>
  <c r="I371" i="6"/>
  <c r="H371" i="6"/>
  <c r="I370" i="6"/>
  <c r="H370" i="6"/>
  <c r="I369" i="6"/>
  <c r="H369" i="6"/>
  <c r="I368" i="6"/>
  <c r="H368" i="6"/>
  <c r="I367" i="6"/>
  <c r="H367" i="6"/>
  <c r="I366" i="6"/>
  <c r="H366" i="6"/>
  <c r="I365" i="6"/>
  <c r="H365" i="6"/>
  <c r="I364" i="6"/>
  <c r="H364" i="6"/>
  <c r="I363" i="6"/>
  <c r="H363" i="6"/>
  <c r="I362" i="6"/>
  <c r="H362" i="6"/>
  <c r="I361" i="6"/>
  <c r="H361" i="6"/>
  <c r="I360" i="6"/>
  <c r="H360" i="6"/>
  <c r="I359" i="6"/>
  <c r="H359" i="6"/>
  <c r="I358" i="6"/>
  <c r="H358" i="6"/>
  <c r="I357" i="6"/>
  <c r="H357" i="6"/>
  <c r="I356" i="6"/>
  <c r="H356" i="6"/>
  <c r="I355" i="6"/>
  <c r="H355" i="6"/>
  <c r="I354" i="6"/>
  <c r="H354" i="6"/>
  <c r="I353" i="6"/>
  <c r="H353" i="6"/>
  <c r="I352" i="6"/>
  <c r="H352" i="6"/>
  <c r="I351" i="6"/>
  <c r="H351" i="6"/>
  <c r="I350" i="6"/>
  <c r="H350" i="6"/>
  <c r="I349" i="6"/>
  <c r="H349" i="6"/>
  <c r="I348" i="6"/>
  <c r="H348" i="6"/>
  <c r="I347" i="6"/>
  <c r="H347" i="6"/>
  <c r="I346" i="6"/>
  <c r="H346" i="6"/>
  <c r="I345" i="6"/>
  <c r="H345" i="6"/>
  <c r="I344" i="6"/>
  <c r="H344" i="6"/>
  <c r="I343" i="6"/>
  <c r="H343" i="6"/>
  <c r="I342" i="6"/>
  <c r="H342" i="6"/>
  <c r="I341" i="6"/>
  <c r="H341" i="6"/>
  <c r="I340" i="6"/>
  <c r="H340" i="6"/>
  <c r="I339" i="6"/>
  <c r="H339" i="6"/>
  <c r="I338" i="6"/>
  <c r="H338" i="6"/>
  <c r="I337" i="6"/>
  <c r="H337" i="6"/>
  <c r="I336" i="6"/>
  <c r="H336" i="6"/>
  <c r="I335" i="6"/>
  <c r="H335" i="6"/>
  <c r="I334" i="6"/>
  <c r="H334" i="6"/>
  <c r="I333" i="6"/>
  <c r="H333" i="6"/>
  <c r="I332" i="6"/>
  <c r="H332" i="6"/>
  <c r="I331" i="6"/>
  <c r="H331" i="6"/>
  <c r="I330" i="6"/>
  <c r="H330" i="6"/>
  <c r="I329" i="6"/>
  <c r="H329" i="6"/>
  <c r="I328" i="6"/>
  <c r="H328" i="6"/>
  <c r="I327" i="6"/>
  <c r="H327" i="6"/>
  <c r="I326" i="6"/>
  <c r="H326" i="6"/>
  <c r="I325" i="6"/>
  <c r="H325" i="6"/>
  <c r="I324" i="6"/>
  <c r="H324" i="6"/>
  <c r="I323" i="6"/>
  <c r="H323" i="6"/>
  <c r="I322" i="6"/>
  <c r="H322" i="6"/>
  <c r="I321" i="6"/>
  <c r="H321" i="6"/>
  <c r="I320" i="6"/>
  <c r="H320" i="6"/>
  <c r="I319" i="6"/>
  <c r="H319" i="6"/>
  <c r="I318" i="6"/>
  <c r="H318" i="6"/>
  <c r="I317" i="6"/>
  <c r="H317" i="6"/>
  <c r="I316" i="6"/>
  <c r="H316" i="6"/>
  <c r="I315" i="6"/>
  <c r="H315" i="6"/>
  <c r="I314" i="6"/>
  <c r="H314" i="6"/>
  <c r="I313" i="6"/>
  <c r="H313" i="6"/>
  <c r="I312" i="6"/>
  <c r="H312" i="6"/>
  <c r="I311" i="6"/>
  <c r="H311" i="6"/>
  <c r="I310" i="6"/>
  <c r="H310" i="6"/>
  <c r="I309" i="6"/>
  <c r="H309" i="6"/>
  <c r="I308" i="6"/>
  <c r="H308" i="6"/>
  <c r="I307" i="6"/>
  <c r="H307" i="6"/>
  <c r="I306" i="6"/>
  <c r="H306" i="6"/>
  <c r="I305" i="6"/>
  <c r="H305" i="6"/>
  <c r="I304" i="6"/>
  <c r="H304" i="6"/>
  <c r="I303" i="6"/>
  <c r="H303" i="6"/>
  <c r="I302" i="6"/>
  <c r="H302" i="6"/>
  <c r="I301" i="6"/>
  <c r="H301" i="6"/>
  <c r="I300" i="6"/>
  <c r="H300" i="6"/>
  <c r="I299" i="6"/>
  <c r="H299" i="6"/>
  <c r="I298" i="6"/>
  <c r="H298" i="6"/>
  <c r="I297" i="6"/>
  <c r="H297" i="6"/>
  <c r="I296" i="6"/>
  <c r="H296" i="6"/>
  <c r="I295" i="6"/>
  <c r="H295" i="6"/>
  <c r="I294" i="6"/>
  <c r="H294" i="6"/>
  <c r="I293" i="6"/>
  <c r="H293" i="6"/>
  <c r="I292" i="6"/>
  <c r="H292" i="6"/>
  <c r="I291" i="6"/>
  <c r="H291" i="6"/>
  <c r="I290" i="6"/>
  <c r="H290" i="6"/>
  <c r="I289" i="6"/>
  <c r="H289" i="6"/>
  <c r="I288" i="6"/>
  <c r="H288" i="6"/>
  <c r="I287" i="6"/>
  <c r="H287" i="6"/>
  <c r="I286" i="6"/>
  <c r="H286" i="6"/>
  <c r="I285" i="6"/>
  <c r="H285" i="6"/>
  <c r="I284" i="6"/>
  <c r="H284" i="6"/>
  <c r="I283" i="6"/>
  <c r="H283" i="6"/>
  <c r="I282" i="6"/>
  <c r="H282" i="6"/>
  <c r="I281" i="6"/>
  <c r="H281" i="6"/>
  <c r="I280" i="6"/>
  <c r="H280" i="6"/>
  <c r="I279" i="6"/>
  <c r="H279" i="6"/>
  <c r="I278" i="6"/>
  <c r="H278" i="6"/>
  <c r="I277" i="6"/>
  <c r="H277" i="6"/>
  <c r="I276" i="6"/>
  <c r="H276" i="6"/>
  <c r="I275" i="6"/>
  <c r="H275" i="6"/>
  <c r="I274" i="6"/>
  <c r="H274" i="6"/>
  <c r="I273" i="6"/>
  <c r="H273" i="6"/>
  <c r="I272" i="6"/>
  <c r="H272" i="6"/>
  <c r="I271" i="6"/>
  <c r="H271" i="6"/>
  <c r="I270" i="6"/>
  <c r="H270" i="6"/>
  <c r="I269" i="6"/>
  <c r="H269" i="6"/>
  <c r="I268" i="6"/>
  <c r="H268" i="6"/>
  <c r="I267" i="6"/>
  <c r="H267" i="6"/>
  <c r="I266" i="6"/>
  <c r="H266" i="6"/>
  <c r="I265" i="6"/>
  <c r="H265" i="6"/>
  <c r="I264" i="6"/>
  <c r="H264" i="6"/>
  <c r="I263" i="6"/>
  <c r="H263" i="6"/>
  <c r="I262" i="6"/>
  <c r="H262" i="6"/>
  <c r="I261" i="6"/>
  <c r="H261" i="6"/>
  <c r="I260" i="6"/>
  <c r="H260" i="6"/>
  <c r="I259" i="6"/>
  <c r="H259" i="6"/>
  <c r="I258" i="6"/>
  <c r="H258" i="6"/>
  <c r="I257" i="6"/>
  <c r="H257" i="6"/>
  <c r="I256" i="6"/>
  <c r="H256" i="6"/>
  <c r="I255" i="6"/>
  <c r="H255" i="6"/>
  <c r="I254" i="6"/>
  <c r="H254" i="6"/>
  <c r="I253" i="6"/>
  <c r="H253" i="6"/>
  <c r="I252" i="6"/>
  <c r="H252" i="6"/>
  <c r="I251" i="6"/>
  <c r="H251" i="6"/>
  <c r="I250" i="6"/>
  <c r="H250" i="6"/>
  <c r="I249" i="6"/>
  <c r="H249" i="6"/>
  <c r="I248" i="6"/>
  <c r="H248" i="6"/>
  <c r="I247" i="6"/>
  <c r="H247" i="6"/>
  <c r="I246" i="6"/>
  <c r="H246" i="6"/>
  <c r="I245" i="6"/>
  <c r="H245" i="6"/>
  <c r="I244" i="6"/>
  <c r="H244" i="6"/>
  <c r="I243" i="6"/>
  <c r="H243" i="6"/>
  <c r="I242" i="6"/>
  <c r="H242" i="6"/>
  <c r="I241" i="6"/>
  <c r="H241" i="6"/>
  <c r="I240" i="6"/>
  <c r="H240" i="6"/>
  <c r="I239" i="6"/>
  <c r="H239" i="6"/>
  <c r="I238" i="6"/>
  <c r="H238" i="6"/>
  <c r="I237" i="6"/>
  <c r="H237" i="6"/>
  <c r="I236" i="6"/>
  <c r="H236" i="6"/>
  <c r="I235" i="6"/>
  <c r="H235" i="6"/>
  <c r="I234" i="6"/>
  <c r="H234" i="6"/>
  <c r="I233" i="6"/>
  <c r="H233" i="6"/>
  <c r="I232" i="6"/>
  <c r="H232" i="6"/>
  <c r="I231" i="6"/>
  <c r="H231" i="6"/>
  <c r="B5" i="12" s="1"/>
  <c r="I230" i="6"/>
  <c r="H230" i="6"/>
  <c r="I229" i="6"/>
  <c r="H229" i="6"/>
  <c r="I228" i="6"/>
  <c r="H228" i="6"/>
  <c r="I227" i="6"/>
  <c r="H227" i="6"/>
  <c r="I226" i="6"/>
  <c r="H226" i="6"/>
  <c r="I225" i="6"/>
  <c r="H225" i="6"/>
  <c r="I224" i="6"/>
  <c r="H224" i="6"/>
  <c r="I223" i="6"/>
  <c r="H223" i="6"/>
  <c r="I222" i="6"/>
  <c r="H222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3" i="6"/>
  <c r="H213" i="6"/>
  <c r="I212" i="6"/>
  <c r="H212" i="6"/>
  <c r="I211" i="6"/>
  <c r="H211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3" i="6"/>
  <c r="H203" i="6"/>
  <c r="I202" i="6"/>
  <c r="H202" i="6"/>
  <c r="I201" i="6"/>
  <c r="H201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9" i="6"/>
  <c r="H179" i="6"/>
  <c r="I178" i="6"/>
  <c r="H178" i="6"/>
  <c r="I177" i="6"/>
  <c r="H177" i="6"/>
  <c r="I176" i="6"/>
  <c r="H176" i="6"/>
  <c r="I175" i="6"/>
  <c r="H175" i="6"/>
  <c r="I174" i="6"/>
  <c r="H174" i="6"/>
  <c r="I173" i="6"/>
  <c r="H173" i="6"/>
  <c r="I172" i="6"/>
  <c r="H172" i="6"/>
  <c r="I171" i="6"/>
  <c r="H171" i="6"/>
  <c r="I170" i="6"/>
  <c r="H170" i="6"/>
  <c r="I169" i="6"/>
  <c r="H169" i="6"/>
  <c r="I168" i="6"/>
  <c r="H168" i="6"/>
  <c r="I167" i="6"/>
  <c r="H167" i="6"/>
  <c r="I166" i="6"/>
  <c r="H166" i="6"/>
  <c r="I165" i="6"/>
  <c r="H165" i="6"/>
  <c r="I164" i="6"/>
  <c r="H164" i="6"/>
  <c r="I163" i="6"/>
  <c r="H163" i="6"/>
  <c r="I162" i="6"/>
  <c r="H162" i="6"/>
  <c r="I161" i="6"/>
  <c r="H161" i="6"/>
  <c r="I160" i="6"/>
  <c r="H160" i="6"/>
  <c r="I159" i="6"/>
  <c r="H159" i="6"/>
  <c r="I158" i="6"/>
  <c r="H158" i="6"/>
  <c r="I157" i="6"/>
  <c r="H157" i="6"/>
  <c r="I156" i="6"/>
  <c r="H156" i="6"/>
  <c r="I155" i="6"/>
  <c r="H155" i="6"/>
  <c r="I154" i="6"/>
  <c r="H154" i="6"/>
  <c r="I153" i="6"/>
  <c r="H153" i="6"/>
  <c r="I152" i="6"/>
  <c r="H152" i="6"/>
  <c r="I151" i="6"/>
  <c r="H151" i="6"/>
  <c r="I150" i="6"/>
  <c r="H150" i="6"/>
  <c r="I149" i="6"/>
  <c r="H149" i="6"/>
  <c r="I148" i="6"/>
  <c r="H148" i="6"/>
  <c r="I147" i="6"/>
  <c r="H147" i="6"/>
  <c r="I146" i="6"/>
  <c r="H146" i="6"/>
  <c r="I145" i="6"/>
  <c r="H145" i="6"/>
  <c r="I144" i="6"/>
  <c r="H144" i="6"/>
  <c r="I143" i="6"/>
  <c r="H143" i="6"/>
  <c r="I142" i="6"/>
  <c r="H142" i="6"/>
  <c r="I141" i="6"/>
  <c r="H141" i="6"/>
  <c r="I140" i="6"/>
  <c r="H140" i="6"/>
  <c r="I139" i="6"/>
  <c r="H139" i="6"/>
  <c r="I138" i="6"/>
  <c r="H138" i="6"/>
  <c r="I137" i="6"/>
  <c r="H137" i="6"/>
  <c r="I136" i="6"/>
  <c r="H136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  <c r="B4" i="12" s="1"/>
  <c r="B29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D17" i="9" s="1"/>
  <c r="C17" i="5"/>
  <c r="R17" i="9" s="1"/>
  <c r="E16" i="5"/>
  <c r="D16" i="9" s="1"/>
  <c r="C16" i="5"/>
  <c r="R16" i="9" s="1"/>
  <c r="E15" i="5"/>
  <c r="D15" i="9" s="1"/>
  <c r="C15" i="5"/>
  <c r="R15" i="9" s="1"/>
  <c r="E14" i="5"/>
  <c r="D14" i="9" s="1"/>
  <c r="C14" i="5"/>
  <c r="R14" i="9" s="1"/>
  <c r="E13" i="5"/>
  <c r="D13" i="9" s="1"/>
  <c r="C13" i="5"/>
  <c r="R13" i="9" s="1"/>
  <c r="E12" i="5"/>
  <c r="D12" i="9" s="1"/>
  <c r="C12" i="5"/>
  <c r="R12" i="9" s="1"/>
  <c r="E11" i="5"/>
  <c r="D11" i="9" s="1"/>
  <c r="C11" i="5"/>
  <c r="R11" i="9" s="1"/>
  <c r="E10" i="5"/>
  <c r="D10" i="9" s="1"/>
  <c r="C10" i="5"/>
  <c r="R10" i="9" s="1"/>
  <c r="E9" i="5"/>
  <c r="D9" i="9" s="1"/>
  <c r="C9" i="5"/>
  <c r="R9" i="9" s="1"/>
  <c r="E8" i="5"/>
  <c r="D8" i="9" s="1"/>
  <c r="C8" i="5"/>
  <c r="R8" i="9" s="1"/>
  <c r="E7" i="5"/>
  <c r="D7" i="9" s="1"/>
  <c r="C7" i="5"/>
  <c r="R7" i="9" s="1"/>
  <c r="E6" i="5"/>
  <c r="D6" i="9" s="1"/>
  <c r="C6" i="5"/>
  <c r="R6" i="9" s="1"/>
  <c r="E5" i="5"/>
  <c r="D5" i="9" s="1"/>
  <c r="C5" i="5"/>
  <c r="R5" i="9" s="1"/>
  <c r="E4" i="5"/>
  <c r="D4" i="9" s="1"/>
  <c r="C4" i="5"/>
  <c r="R4" i="9" s="1"/>
  <c r="E3" i="5"/>
  <c r="D3" i="9" s="1"/>
  <c r="C3" i="5"/>
  <c r="R3" i="9" s="1"/>
  <c r="E2" i="5"/>
  <c r="C2" i="5"/>
  <c r="R2" i="9" s="1"/>
  <c r="C24" i="4"/>
  <c r="C20" i="4"/>
  <c r="C19" i="4"/>
  <c r="C18" i="4"/>
  <c r="H6" i="4"/>
  <c r="H5" i="4"/>
  <c r="H4" i="4"/>
  <c r="H3" i="4"/>
  <c r="M5" i="3"/>
  <c r="L5" i="3"/>
  <c r="K5" i="3"/>
  <c r="J5" i="3"/>
  <c r="I5" i="3"/>
  <c r="H5" i="3"/>
  <c r="G5" i="3"/>
  <c r="F5" i="3"/>
  <c r="E5" i="3"/>
  <c r="D5" i="3"/>
  <c r="C5" i="3"/>
  <c r="B5" i="3"/>
  <c r="AI17" i="9" l="1"/>
  <c r="AK17" i="9"/>
  <c r="B33" i="10"/>
  <c r="AJ17" i="9"/>
  <c r="Y17" i="9"/>
  <c r="H26" i="12" s="1"/>
  <c r="I26" i="12" s="1"/>
  <c r="AI16" i="9"/>
  <c r="AJ16" i="9"/>
  <c r="Y16" i="9"/>
  <c r="H25" i="12" s="1"/>
  <c r="I25" i="12" s="1"/>
  <c r="AK16" i="9"/>
  <c r="Y15" i="9"/>
  <c r="H24" i="12" s="1"/>
  <c r="I24" i="12" s="1"/>
  <c r="AJ15" i="9"/>
  <c r="AI15" i="9"/>
  <c r="AK15" i="9"/>
  <c r="Y14" i="9"/>
  <c r="H23" i="12" s="1"/>
  <c r="I23" i="12" s="1"/>
  <c r="AK14" i="9"/>
  <c r="AI14" i="9"/>
  <c r="AJ14" i="9"/>
  <c r="AJ13" i="9"/>
  <c r="AK13" i="9"/>
  <c r="Y13" i="9"/>
  <c r="H22" i="12" s="1"/>
  <c r="I22" i="12" s="1"/>
  <c r="AI13" i="9"/>
  <c r="Y11" i="9"/>
  <c r="H20" i="12" s="1"/>
  <c r="I20" i="12" s="1"/>
  <c r="AK11" i="9"/>
  <c r="AJ11" i="9"/>
  <c r="AI11" i="9"/>
  <c r="AK10" i="9"/>
  <c r="Y10" i="9"/>
  <c r="H19" i="12" s="1"/>
  <c r="I19" i="12" s="1"/>
  <c r="AJ10" i="9"/>
  <c r="AI10" i="9"/>
  <c r="AI9" i="9"/>
  <c r="AK9" i="9"/>
  <c r="Y9" i="9"/>
  <c r="H18" i="12" s="1"/>
  <c r="I18" i="12" s="1"/>
  <c r="AJ9" i="9"/>
  <c r="AJ8" i="9"/>
  <c r="Y8" i="9"/>
  <c r="H17" i="12" s="1"/>
  <c r="I17" i="12" s="1"/>
  <c r="AK8" i="9"/>
  <c r="AI8" i="9"/>
  <c r="AJ7" i="9"/>
  <c r="Y7" i="9"/>
  <c r="AI7" i="9"/>
  <c r="AK7" i="9"/>
  <c r="B4" i="10"/>
  <c r="AK6" i="9"/>
  <c r="AI6" i="9"/>
  <c r="Y6" i="9"/>
  <c r="AJ6" i="9"/>
  <c r="Y5" i="9"/>
  <c r="AJ5" i="9"/>
  <c r="AK5" i="9"/>
  <c r="AI5" i="9"/>
  <c r="Y4" i="9"/>
  <c r="AI4" i="9"/>
  <c r="AJ4" i="9"/>
  <c r="AK4" i="9"/>
  <c r="Y3" i="9"/>
  <c r="AI3" i="9"/>
  <c r="AJ3" i="9"/>
  <c r="AK3" i="9"/>
  <c r="C4" i="14"/>
  <c r="C14" i="14"/>
  <c r="C12" i="9" s="1"/>
  <c r="L10" i="12"/>
  <c r="K10" i="12"/>
  <c r="K9" i="12"/>
  <c r="L9" i="12"/>
  <c r="K8" i="12"/>
  <c r="L8" i="12"/>
  <c r="K7" i="12"/>
  <c r="L7" i="12"/>
  <c r="K6" i="12"/>
  <c r="L6" i="12"/>
  <c r="K5" i="12"/>
  <c r="L5" i="12"/>
  <c r="K4" i="12"/>
  <c r="L4" i="12"/>
  <c r="G6" i="11"/>
  <c r="B15" i="10"/>
  <c r="B16" i="10"/>
  <c r="F17" i="9"/>
  <c r="B35" i="10"/>
  <c r="AH2" i="9"/>
  <c r="C2" i="9"/>
  <c r="D2" i="9"/>
  <c r="E2" i="9"/>
  <c r="F2" i="9" s="1"/>
  <c r="G2" i="9"/>
  <c r="D11" i="12"/>
  <c r="E11" i="12"/>
  <c r="X3" i="11" s="1"/>
  <c r="E12" i="12"/>
  <c r="X4" i="11" s="1"/>
  <c r="E14" i="12"/>
  <c r="X6" i="11" s="1"/>
  <c r="D16" i="12"/>
  <c r="E18" i="12"/>
  <c r="X10" i="11" s="1"/>
  <c r="E20" i="12"/>
  <c r="X12" i="11" s="1"/>
  <c r="D12" i="12"/>
  <c r="D13" i="12"/>
  <c r="E13" i="12"/>
  <c r="X5" i="11" s="1"/>
  <c r="D14" i="12"/>
  <c r="D15" i="12"/>
  <c r="E15" i="12"/>
  <c r="X7" i="11" s="1"/>
  <c r="E16" i="12"/>
  <c r="X8" i="11" s="1"/>
  <c r="E17" i="12"/>
  <c r="X9" i="11" s="1"/>
  <c r="E19" i="12"/>
  <c r="X11" i="11" s="1"/>
  <c r="E21" i="12"/>
  <c r="X13" i="11" s="1"/>
  <c r="B34" i="10"/>
  <c r="T17" i="9"/>
  <c r="S17" i="9"/>
  <c r="T16" i="9"/>
  <c r="S16" i="9"/>
  <c r="S15" i="9"/>
  <c r="T15" i="9"/>
  <c r="S14" i="9"/>
  <c r="T14" i="9"/>
  <c r="T13" i="9"/>
  <c r="S13" i="9"/>
  <c r="T12" i="9"/>
  <c r="S12" i="9"/>
  <c r="S11" i="9"/>
  <c r="T11" i="9"/>
  <c r="T10" i="9"/>
  <c r="S10" i="9"/>
  <c r="T9" i="9"/>
  <c r="S9" i="9"/>
  <c r="S8" i="9"/>
  <c r="T8" i="9"/>
  <c r="B5" i="10"/>
  <c r="B11" i="11" s="1"/>
  <c r="S7" i="9"/>
  <c r="T7" i="9"/>
  <c r="T6" i="9"/>
  <c r="S6" i="9"/>
  <c r="S5" i="9"/>
  <c r="T5" i="9"/>
  <c r="S4" i="9"/>
  <c r="T4" i="9"/>
  <c r="S3" i="9"/>
  <c r="T3" i="9"/>
  <c r="S2" i="9"/>
  <c r="T2" i="9"/>
  <c r="J6" i="9"/>
  <c r="J7" i="9"/>
  <c r="B8" i="10" s="1"/>
  <c r="J2" i="9"/>
  <c r="J3" i="9"/>
  <c r="J4" i="9"/>
  <c r="J5" i="9"/>
  <c r="H16" i="12" l="1"/>
  <c r="I16" i="12" s="1"/>
  <c r="B9" i="13"/>
  <c r="B24" i="10"/>
  <c r="L5" i="11" s="1"/>
  <c r="H15" i="12"/>
  <c r="I15" i="12" s="1"/>
  <c r="B8" i="13"/>
  <c r="H14" i="12"/>
  <c r="I14" i="12" s="1"/>
  <c r="B7" i="13"/>
  <c r="H13" i="12"/>
  <c r="I13" i="12" s="1"/>
  <c r="B6" i="13"/>
  <c r="H12" i="12"/>
  <c r="I12" i="12" s="1"/>
  <c r="B5" i="13"/>
  <c r="Y12" i="9"/>
  <c r="H21" i="12" s="1"/>
  <c r="I21" i="12" s="1"/>
  <c r="AK12" i="9"/>
  <c r="AI12" i="9"/>
  <c r="AJ12" i="9"/>
  <c r="O10" i="12"/>
  <c r="P10" i="12"/>
  <c r="O9" i="12"/>
  <c r="P9" i="12"/>
  <c r="O8" i="12"/>
  <c r="P8" i="12"/>
  <c r="O7" i="12"/>
  <c r="P7" i="12"/>
  <c r="O6" i="12"/>
  <c r="P6" i="12"/>
  <c r="O5" i="12"/>
  <c r="P5" i="12"/>
  <c r="O4" i="12"/>
  <c r="P4" i="12"/>
  <c r="AC3" i="11"/>
  <c r="AC4" i="11"/>
  <c r="B7" i="11"/>
  <c r="H2" i="9"/>
  <c r="I2" i="9" s="1" a="1"/>
  <c r="Y2" i="9"/>
  <c r="AI2" i="9"/>
  <c r="AJ2" i="9"/>
  <c r="AK2" i="9"/>
  <c r="G11" i="12"/>
  <c r="W3" i="11"/>
  <c r="G16" i="12"/>
  <c r="W8" i="11"/>
  <c r="G12" i="12"/>
  <c r="W4" i="11"/>
  <c r="G13" i="12"/>
  <c r="W5" i="11"/>
  <c r="G14" i="12"/>
  <c r="W6" i="11"/>
  <c r="G15" i="12"/>
  <c r="W7" i="11"/>
  <c r="B5" i="11"/>
  <c r="AC5" i="11"/>
  <c r="E9" i="13" l="1"/>
  <c r="B28" i="10" s="1"/>
  <c r="I9" i="13"/>
  <c r="E8" i="13"/>
  <c r="I8" i="13"/>
  <c r="E7" i="13"/>
  <c r="I7" i="13"/>
  <c r="E6" i="13"/>
  <c r="I6" i="13"/>
  <c r="E5" i="13"/>
  <c r="I5" i="13"/>
  <c r="K2" i="9"/>
  <c r="U2" i="9"/>
  <c r="K3" i="9"/>
  <c r="O3" i="9"/>
  <c r="AA3" i="9" s="1"/>
  <c r="AB3" i="9" s="1"/>
  <c r="P3" i="9"/>
  <c r="Q3" i="9"/>
  <c r="V3" i="9" s="1"/>
  <c r="U3" i="9"/>
  <c r="K4" i="9"/>
  <c r="O4" i="9"/>
  <c r="AA4" i="9" s="1"/>
  <c r="AB4" i="9" s="1"/>
  <c r="P4" i="9"/>
  <c r="Q4" i="9"/>
  <c r="V4" i="9" s="1"/>
  <c r="U4" i="9"/>
  <c r="K5" i="9"/>
  <c r="O5" i="9"/>
  <c r="AA5" i="9" s="1"/>
  <c r="AB5" i="9" s="1"/>
  <c r="P5" i="9"/>
  <c r="Q5" i="9"/>
  <c r="V5" i="9" s="1"/>
  <c r="U5" i="9"/>
  <c r="U6" i="9"/>
  <c r="U10" i="9"/>
  <c r="K11" i="9"/>
  <c r="U15" i="9"/>
  <c r="U17" i="9"/>
  <c r="K6" i="9"/>
  <c r="U8" i="9"/>
  <c r="O13" i="9"/>
  <c r="K16" i="9"/>
  <c r="O16" i="9"/>
  <c r="AA16" i="9" s="1"/>
  <c r="AB16" i="9" s="1"/>
  <c r="K9" i="9"/>
  <c r="U12" i="9"/>
  <c r="K13" i="9"/>
  <c r="O14" i="9"/>
  <c r="U16" i="9"/>
  <c r="O9" i="9"/>
  <c r="U9" i="9"/>
  <c r="O11" i="9"/>
  <c r="O6" i="9"/>
  <c r="O7" i="9"/>
  <c r="P7" i="9" s="1"/>
  <c r="Q7" i="9" s="1"/>
  <c r="V7" i="9" s="1"/>
  <c r="W7" i="9" s="1"/>
  <c r="U7" i="9"/>
  <c r="O8" i="9"/>
  <c r="K10" i="9"/>
  <c r="O10" i="9"/>
  <c r="U11" i="9"/>
  <c r="U13" i="9"/>
  <c r="K14" i="9"/>
  <c r="U14" i="9"/>
  <c r="O15" i="9"/>
  <c r="P16" i="9"/>
  <c r="Q16" i="9"/>
  <c r="V16" i="9" s="1"/>
  <c r="W16" i="9" s="1"/>
  <c r="K17" i="9"/>
  <c r="K7" i="9"/>
  <c r="K8" i="9"/>
  <c r="K12" i="9"/>
  <c r="O12" i="9"/>
  <c r="K15" i="9"/>
  <c r="O17" i="9"/>
  <c r="P17" i="9" s="1"/>
  <c r="Q17" i="9" s="1"/>
  <c r="V17" i="9" s="1"/>
  <c r="W17" i="9" s="1"/>
  <c r="H11" i="12"/>
  <c r="I11" i="12" s="1"/>
  <c r="B4" i="13"/>
  <c r="K11" i="12"/>
  <c r="L11" i="12"/>
  <c r="K12" i="12"/>
  <c r="L12" i="12" s="1"/>
  <c r="K13" i="12"/>
  <c r="L13" i="12"/>
  <c r="B18" i="10"/>
  <c r="B20" i="10" s="1"/>
  <c r="B17" i="10"/>
  <c r="B19" i="10" s="1"/>
  <c r="AA12" i="9" l="1"/>
  <c r="AB12" i="9" s="1"/>
  <c r="P12" i="9"/>
  <c r="Q12" i="9" s="1"/>
  <c r="V12" i="9" s="1"/>
  <c r="W12" i="9" s="1"/>
  <c r="L7" i="11"/>
  <c r="AF3" i="11"/>
  <c r="M11" i="12"/>
  <c r="M3" i="9"/>
  <c r="N3" i="9"/>
  <c r="M12" i="12"/>
  <c r="Q4" i="11"/>
  <c r="AG3" i="9"/>
  <c r="AL3" i="9" s="1"/>
  <c r="AC3" i="9"/>
  <c r="X3" i="9"/>
  <c r="N12" i="12"/>
  <c r="M4" i="9"/>
  <c r="N4" i="9"/>
  <c r="M13" i="12"/>
  <c r="Q5" i="11"/>
  <c r="AG4" i="9"/>
  <c r="AL4" i="9" s="1"/>
  <c r="AC4" i="9"/>
  <c r="X4" i="9"/>
  <c r="N13" i="12"/>
  <c r="M5" i="9"/>
  <c r="N5" i="9"/>
  <c r="M14" i="12"/>
  <c r="Z6" i="11" s="1"/>
  <c r="AC5" i="9"/>
  <c r="AG5" i="9"/>
  <c r="AL5" i="9" s="1"/>
  <c r="Q6" i="11"/>
  <c r="X5" i="9"/>
  <c r="N14" i="12"/>
  <c r="M20" i="12"/>
  <c r="Z12" i="11" s="1"/>
  <c r="N11" i="9"/>
  <c r="M11" i="9"/>
  <c r="M15" i="12"/>
  <c r="Z7" i="11" s="1"/>
  <c r="M6" i="9"/>
  <c r="N6" i="9"/>
  <c r="Z12" i="9"/>
  <c r="AO12" i="9"/>
  <c r="AP12" i="9" s="1"/>
  <c r="N21" i="12"/>
  <c r="X12" i="9"/>
  <c r="M16" i="9"/>
  <c r="N16" i="9"/>
  <c r="M25" i="12"/>
  <c r="Z17" i="11" s="1"/>
  <c r="AG16" i="9"/>
  <c r="AL16" i="9" s="1"/>
  <c r="AC16" i="9"/>
  <c r="Q17" i="11"/>
  <c r="N9" i="9"/>
  <c r="M9" i="9"/>
  <c r="M18" i="12"/>
  <c r="Z10" i="11" s="1"/>
  <c r="M13" i="9"/>
  <c r="N13" i="9"/>
  <c r="M22" i="12"/>
  <c r="Z14" i="11" s="1"/>
  <c r="Z17" i="9"/>
  <c r="B48" i="10"/>
  <c r="G16" i="11" s="1"/>
  <c r="B9" i="10"/>
  <c r="AA7" i="9"/>
  <c r="AB7" i="9" s="1"/>
  <c r="Z7" i="9"/>
  <c r="B27" i="10" s="1"/>
  <c r="B25" i="10"/>
  <c r="L11" i="11" s="1"/>
  <c r="F9" i="13"/>
  <c r="AO7" i="9"/>
  <c r="AP7" i="9" s="1"/>
  <c r="M10" i="9"/>
  <c r="M19" i="12"/>
  <c r="Z11" i="11" s="1"/>
  <c r="N10" i="9"/>
  <c r="N14" i="9"/>
  <c r="M23" i="12"/>
  <c r="Z15" i="11" s="1"/>
  <c r="M14" i="9"/>
  <c r="N25" i="12"/>
  <c r="X16" i="9"/>
  <c r="Z16" i="9"/>
  <c r="AO16" i="9"/>
  <c r="AP16" i="9" s="1"/>
  <c r="M26" i="12"/>
  <c r="Z18" i="11" s="1"/>
  <c r="M17" i="9"/>
  <c r="B40" i="10" s="1"/>
  <c r="B17" i="11" s="1"/>
  <c r="N17" i="9"/>
  <c r="B41" i="10" s="1"/>
  <c r="X17" i="9"/>
  <c r="B49" i="10" s="1"/>
  <c r="G17" i="11" s="1"/>
  <c r="N26" i="12"/>
  <c r="B11" i="10"/>
  <c r="G8" i="11" s="1"/>
  <c r="M16" i="12"/>
  <c r="Z8" i="11" s="1"/>
  <c r="N7" i="9"/>
  <c r="B14" i="10" s="1"/>
  <c r="G10" i="11" s="1"/>
  <c r="M7" i="9"/>
  <c r="B13" i="10" s="1"/>
  <c r="G9" i="11" s="1"/>
  <c r="B12" i="10"/>
  <c r="X7" i="9"/>
  <c r="B26" i="10" s="1"/>
  <c r="N16" i="12"/>
  <c r="M8" i="9"/>
  <c r="M17" i="12"/>
  <c r="Z9" i="11" s="1"/>
  <c r="N8" i="9"/>
  <c r="M21" i="12"/>
  <c r="Z13" i="11" s="1"/>
  <c r="M12" i="9"/>
  <c r="N12" i="9"/>
  <c r="AG12" i="9"/>
  <c r="AL12" i="9" s="1"/>
  <c r="Q13" i="11"/>
  <c r="AC12" i="9"/>
  <c r="M24" i="12"/>
  <c r="Z16" i="11" s="1"/>
  <c r="N15" i="9"/>
  <c r="M15" i="9"/>
  <c r="AA17" i="9"/>
  <c r="AB17" i="9" s="1"/>
  <c r="B38" i="10"/>
  <c r="B15" i="11" s="1"/>
  <c r="J22" i="12"/>
  <c r="K22" i="12" s="1"/>
  <c r="L22" i="12" s="1"/>
  <c r="J19" i="12"/>
  <c r="K19" i="12" s="1"/>
  <c r="L19" i="12" s="1"/>
  <c r="J25" i="12"/>
  <c r="K25" i="12" s="1"/>
  <c r="L25" i="12" s="1"/>
  <c r="J24" i="12"/>
  <c r="K24" i="12" s="1"/>
  <c r="L24" i="12" s="1"/>
  <c r="J21" i="12"/>
  <c r="K21" i="12" s="1"/>
  <c r="L21" i="12" s="1"/>
  <c r="J17" i="12"/>
  <c r="K17" i="12" s="1"/>
  <c r="L17" i="12" s="1"/>
  <c r="J20" i="12"/>
  <c r="K20" i="12" s="1"/>
  <c r="L20" i="12" s="1"/>
  <c r="J15" i="12"/>
  <c r="K15" i="12" s="1"/>
  <c r="L15" i="12" s="1"/>
  <c r="J14" i="12"/>
  <c r="K14" i="12" s="1"/>
  <c r="L14" i="12" s="1"/>
  <c r="J16" i="12"/>
  <c r="K16" i="12" s="1"/>
  <c r="L16" i="12" s="1"/>
  <c r="J26" i="12"/>
  <c r="K26" i="12" s="1"/>
  <c r="L26" i="12" s="1"/>
  <c r="J18" i="12"/>
  <c r="K18" i="12" s="1"/>
  <c r="L18" i="12" s="1"/>
  <c r="J23" i="12"/>
  <c r="K23" i="12" s="1"/>
  <c r="L23" i="12" s="1"/>
  <c r="E4" i="13"/>
  <c r="I4" i="13"/>
  <c r="L2" i="9"/>
  <c r="N2" i="9" s="1"/>
  <c r="Y3" i="11"/>
  <c r="Y4" i="11"/>
  <c r="Y5" i="11"/>
  <c r="W3" i="9"/>
  <c r="W4" i="9"/>
  <c r="W5" i="9"/>
  <c r="AA13" i="9"/>
  <c r="AB13" i="9" s="1"/>
  <c r="P13" i="9"/>
  <c r="AA14" i="9"/>
  <c r="AB14" i="9" s="1"/>
  <c r="P14" i="9"/>
  <c r="AA9" i="9"/>
  <c r="AB9" i="9" s="1"/>
  <c r="P9" i="9"/>
  <c r="AA11" i="9"/>
  <c r="AB11" i="9" s="1"/>
  <c r="P11" i="9"/>
  <c r="AA6" i="9"/>
  <c r="AB6" i="9" s="1"/>
  <c r="P6" i="9"/>
  <c r="AA8" i="9"/>
  <c r="AB8" i="9" s="1"/>
  <c r="P8" i="9"/>
  <c r="AA10" i="9"/>
  <c r="AB10" i="9" s="1"/>
  <c r="P10" i="9"/>
  <c r="AA15" i="9"/>
  <c r="AB15" i="9" s="1"/>
  <c r="P15" i="9"/>
  <c r="Z3" i="11" l="1"/>
  <c r="O11" i="12"/>
  <c r="P11" i="12"/>
  <c r="Z4" i="11"/>
  <c r="O12" i="12"/>
  <c r="P12" i="12"/>
  <c r="Z5" i="11"/>
  <c r="O13" i="12"/>
  <c r="P13" i="12"/>
  <c r="B6" i="11"/>
  <c r="AC6" i="11"/>
  <c r="AG7" i="9"/>
  <c r="AL7" i="9" s="1"/>
  <c r="Q8" i="11"/>
  <c r="B21" i="10"/>
  <c r="AC7" i="9"/>
  <c r="B22" i="10" s="1"/>
  <c r="B9" i="11" s="1"/>
  <c r="AF4" i="11"/>
  <c r="L6" i="11"/>
  <c r="J9" i="13"/>
  <c r="B29" i="10" s="1"/>
  <c r="L9" i="11" s="1"/>
  <c r="G9" i="13"/>
  <c r="Q18" i="11"/>
  <c r="AG17" i="9"/>
  <c r="AC17" i="9"/>
  <c r="B43" i="10" s="1"/>
  <c r="B19" i="11" s="1"/>
  <c r="B42" i="10"/>
  <c r="B18" i="11" s="1"/>
  <c r="Y14" i="11"/>
  <c r="P22" i="12"/>
  <c r="O22" i="12"/>
  <c r="Y11" i="11"/>
  <c r="P19" i="12"/>
  <c r="O19" i="12"/>
  <c r="Y17" i="11"/>
  <c r="P25" i="12"/>
  <c r="O25" i="12"/>
  <c r="Y16" i="11"/>
  <c r="P24" i="12"/>
  <c r="O24" i="12"/>
  <c r="Y13" i="11"/>
  <c r="P21" i="12"/>
  <c r="O21" i="12"/>
  <c r="Y9" i="11"/>
  <c r="P17" i="12"/>
  <c r="O17" i="12"/>
  <c r="P20" i="12"/>
  <c r="O20" i="12"/>
  <c r="Y12" i="11"/>
  <c r="Y18" i="11"/>
  <c r="O26" i="12"/>
  <c r="P26" i="12"/>
  <c r="Y10" i="11"/>
  <c r="P18" i="12"/>
  <c r="O18" i="12"/>
  <c r="Y15" i="11"/>
  <c r="P23" i="12"/>
  <c r="O23" i="12"/>
  <c r="O2" i="9"/>
  <c r="M2" i="9"/>
  <c r="F5" i="13"/>
  <c r="AO3" i="9"/>
  <c r="AP3" i="9" s="1"/>
  <c r="Z3" i="9"/>
  <c r="F6" i="13"/>
  <c r="AO4" i="9"/>
  <c r="AP4" i="9" s="1"/>
  <c r="Z4" i="9"/>
  <c r="F7" i="13"/>
  <c r="AO5" i="9"/>
  <c r="AP5" i="9" s="1"/>
  <c r="Z5" i="9"/>
  <c r="AG13" i="9"/>
  <c r="AL13" i="9" s="1"/>
  <c r="Q14" i="11"/>
  <c r="AC13" i="9"/>
  <c r="X13" i="9"/>
  <c r="N22" i="12"/>
  <c r="Q13" i="9"/>
  <c r="V13" i="9" s="1"/>
  <c r="W13" i="9" s="1"/>
  <c r="Q15" i="11"/>
  <c r="AC14" i="9"/>
  <c r="AG14" i="9"/>
  <c r="AL14" i="9" s="1"/>
  <c r="X14" i="9"/>
  <c r="N23" i="12"/>
  <c r="Q14" i="9"/>
  <c r="V14" i="9" s="1"/>
  <c r="W14" i="9" s="1"/>
  <c r="Q10" i="11"/>
  <c r="AG9" i="9"/>
  <c r="AL9" i="9" s="1"/>
  <c r="AC9" i="9"/>
  <c r="X9" i="9"/>
  <c r="N18" i="12"/>
  <c r="Q9" i="9"/>
  <c r="V9" i="9" s="1"/>
  <c r="W9" i="9" s="1"/>
  <c r="AG11" i="9"/>
  <c r="AL11" i="9" s="1"/>
  <c r="AC11" i="9"/>
  <c r="Q12" i="11"/>
  <c r="X11" i="9"/>
  <c r="N20" i="12"/>
  <c r="Q11" i="9"/>
  <c r="V11" i="9" s="1"/>
  <c r="W11" i="9" s="1"/>
  <c r="AC6" i="9"/>
  <c r="Q7" i="11"/>
  <c r="AG6" i="9"/>
  <c r="AL6" i="9" s="1"/>
  <c r="N15" i="12"/>
  <c r="X6" i="9"/>
  <c r="Q6" i="9"/>
  <c r="V6" i="9" s="1"/>
  <c r="W6" i="9" s="1"/>
  <c r="Q9" i="11"/>
  <c r="AG8" i="9"/>
  <c r="AL8" i="9" s="1"/>
  <c r="AC8" i="9"/>
  <c r="N17" i="12"/>
  <c r="X8" i="9"/>
  <c r="Q8" i="9"/>
  <c r="V8" i="9" s="1"/>
  <c r="W8" i="9" s="1"/>
  <c r="Q11" i="11"/>
  <c r="AG10" i="9"/>
  <c r="AL10" i="9" s="1"/>
  <c r="AC10" i="9"/>
  <c r="X10" i="9"/>
  <c r="N19" i="12"/>
  <c r="Q10" i="9"/>
  <c r="V10" i="9" s="1"/>
  <c r="W10" i="9" s="1"/>
  <c r="AC15" i="9"/>
  <c r="AG15" i="9"/>
  <c r="AL15" i="9" s="1"/>
  <c r="Q16" i="11"/>
  <c r="N24" i="12"/>
  <c r="X15" i="9"/>
  <c r="Q15" i="9"/>
  <c r="V15" i="9" s="1"/>
  <c r="W15" i="9" s="1"/>
  <c r="O15" i="12"/>
  <c r="P15" i="12"/>
  <c r="Y7" i="11"/>
  <c r="O14" i="12"/>
  <c r="P14" i="12"/>
  <c r="Y6" i="11"/>
  <c r="Y8" i="11"/>
  <c r="P16" i="12"/>
  <c r="O16" i="12"/>
  <c r="B23" i="10" l="1"/>
  <c r="B10" i="11" s="1"/>
  <c r="B8" i="11"/>
  <c r="AL17" i="9"/>
  <c r="B44" i="10"/>
  <c r="P2" i="9"/>
  <c r="AA2" i="9"/>
  <c r="AB2" i="9" s="1"/>
  <c r="J5" i="13"/>
  <c r="G5" i="13"/>
  <c r="J6" i="13"/>
  <c r="G6" i="13"/>
  <c r="J7" i="13"/>
  <c r="G7" i="13"/>
  <c r="Z13" i="9"/>
  <c r="AO13" i="9"/>
  <c r="AP13" i="9" s="1"/>
  <c r="AO14" i="9"/>
  <c r="AP14" i="9" s="1"/>
  <c r="Z14" i="9"/>
  <c r="Z9" i="9"/>
  <c r="AO9" i="9"/>
  <c r="AP9" i="9" s="1"/>
  <c r="Z11" i="9"/>
  <c r="AO11" i="9"/>
  <c r="AP11" i="9" s="1"/>
  <c r="AO6" i="9"/>
  <c r="AP6" i="9" s="1"/>
  <c r="F8" i="13"/>
  <c r="Z6" i="9"/>
  <c r="Z8" i="9"/>
  <c r="AO8" i="9"/>
  <c r="AP8" i="9" s="1"/>
  <c r="AO10" i="9"/>
  <c r="AP10" i="9" s="1"/>
  <c r="Z10" i="9"/>
  <c r="AO15" i="9"/>
  <c r="AP15" i="9" s="1"/>
  <c r="Z15" i="9"/>
  <c r="B45" i="10" l="1"/>
  <c r="AN17" i="9"/>
  <c r="N11" i="12"/>
  <c r="X2" i="9"/>
  <c r="Q2" i="9"/>
  <c r="V2" i="9" s="1"/>
  <c r="W2" i="9" s="1"/>
  <c r="AC2" i="9"/>
  <c r="AG2" i="9"/>
  <c r="AL2" i="9" s="1"/>
  <c r="Q3" i="11"/>
  <c r="J8" i="13"/>
  <c r="G8" i="13"/>
  <c r="B52" i="10" l="1"/>
  <c r="G20" i="11" s="1"/>
  <c r="B20" i="11"/>
  <c r="AO17" i="9"/>
  <c r="B47" i="10"/>
  <c r="G15" i="11" s="1"/>
  <c r="F4" i="13"/>
  <c r="AO2" i="9"/>
  <c r="AP2" i="9" s="1"/>
  <c r="Z2" i="9"/>
  <c r="B50" i="10" l="1"/>
  <c r="G18" i="11" s="1"/>
  <c r="AP17" i="9"/>
  <c r="B51" i="10" s="1"/>
  <c r="G19" i="11" s="1"/>
  <c r="J4" i="13"/>
  <c r="G4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<sst xmlns="http://schemas.openxmlformats.org/spreadsheetml/2006/main" count="7918" uniqueCount="1042">
  <si>
    <t>Facility</t>
  </si>
  <si>
    <t>Production Size (gallons)</t>
  </si>
  <si>
    <t>Type</t>
  </si>
  <si>
    <t>Source</t>
  </si>
  <si>
    <t>Twelve's Moses Lake facility</t>
  </si>
  <si>
    <t>E-Jet SAF</t>
  </si>
  <si>
    <t>https://trellis.net/article/alaska-airlines-microsoft-twelve-sustainable-aviation-fuel/</t>
  </si>
  <si>
    <t>Country</t>
  </si>
  <si>
    <t>Year</t>
  </si>
  <si>
    <t>Size (Blend)</t>
  </si>
  <si>
    <t>Size (Gallons)</t>
  </si>
  <si>
    <t>Actual</t>
  </si>
  <si>
    <t>UK</t>
  </si>
  <si>
    <t>Blend</t>
  </si>
  <si>
    <t>na</t>
  </si>
  <si>
    <t>Net Zero</t>
  </si>
  <si>
    <t>EU</t>
  </si>
  <si>
    <t>US</t>
  </si>
  <si>
    <t>Production</t>
  </si>
  <si>
    <t>Optimistic Production</t>
  </si>
  <si>
    <t>ASMs</t>
  </si>
  <si>
    <t>RPMs</t>
  </si>
  <si>
    <t>Passengers</t>
  </si>
  <si>
    <t>Fuel gallons</t>
  </si>
  <si>
    <t>ASMs/gal</t>
  </si>
  <si>
    <t>Economic fuel $/gal</t>
  </si>
  <si>
    <t>RASM</t>
  </si>
  <si>
    <t>PRASM</t>
  </si>
  <si>
    <t>CASMex</t>
  </si>
  <si>
    <t>Operating Revenue</t>
  </si>
  <si>
    <t>Fuel expense</t>
  </si>
  <si>
    <t>Adjusted Pretax margin</t>
  </si>
  <si>
    <t>2024 PF</t>
  </si>
  <si>
    <t>YoY Growth</t>
  </si>
  <si>
    <t>Metric</t>
  </si>
  <si>
    <t>Value</t>
  </si>
  <si>
    <t>Units</t>
  </si>
  <si>
    <t>2019 GHG Intensity Baseline</t>
  </si>
  <si>
    <t>metric tons CO₂e / 1,000 RTM</t>
  </si>
  <si>
    <t>Sustain Report</t>
  </si>
  <si>
    <t>Fuel Cost (1987 dollars per MMBtu)</t>
  </si>
  <si>
    <t xml:space="preserve">Fuel Price Index: </t>
  </si>
  <si>
    <t>Aircraft Efficiency:  Average Aircraft</t>
  </si>
  <si>
    <t>Efficiency Index</t>
  </si>
  <si>
    <t>Commercial Jet Fuel (US): Fuel Consumption (trillion Btu)</t>
  </si>
  <si>
    <t>EIA 2025–2035 efficiency CAGR</t>
  </si>
  <si>
    <t>RIN Year</t>
  </si>
  <si>
    <t>Month</t>
  </si>
  <si>
    <t>Producer Type</t>
  </si>
  <si>
    <t>Fuel (D Code)</t>
  </si>
  <si>
    <t>Fuel Category</t>
  </si>
  <si>
    <t>RINs</t>
  </si>
  <si>
    <t>Volume (Gal.)</t>
  </si>
  <si>
    <t>SAF_Flag</t>
  </si>
  <si>
    <t>Period</t>
  </si>
  <si>
    <t>Domestic</t>
  </si>
  <si>
    <t>D3</t>
  </si>
  <si>
    <t>Cellulosic Ethanol (EV 1.0)</t>
  </si>
  <si>
    <t>Renewable Liquefied Natural Gas</t>
  </si>
  <si>
    <t>Renewable Compressed Natural Gas</t>
  </si>
  <si>
    <t>D4</t>
  </si>
  <si>
    <t>Biodiesel (EV 1.5)</t>
  </si>
  <si>
    <t>Foreign Generation</t>
  </si>
  <si>
    <t>Non-ester Renewable Diesel (EV 1.7)</t>
  </si>
  <si>
    <t>Importer</t>
  </si>
  <si>
    <t>Renewable Jet Fuel (EV 1.6)</t>
  </si>
  <si>
    <t>D5</t>
  </si>
  <si>
    <t>Renewable Naphtha (EV 1.5)</t>
  </si>
  <si>
    <t>Non-cellulosic Ethanol (EV 1.0)</t>
  </si>
  <si>
    <t>Renewable Heating Oil (EV 1.6)</t>
  </si>
  <si>
    <t>D6</t>
  </si>
  <si>
    <t>D7</t>
  </si>
  <si>
    <t>Cellulosic Heating Oil (EV application required)</t>
  </si>
  <si>
    <t>Cellulosic Diesel (EV application required)</t>
  </si>
  <si>
    <t>LPG (EV 1.1)</t>
  </si>
  <si>
    <t>Renewable Naphtha (EV 1.4)</t>
  </si>
  <si>
    <t>Non-ester Renewable Diesel (EV 1.6)</t>
  </si>
  <si>
    <t>Butanol (EV 1.3)</t>
  </si>
  <si>
    <t>Renewable Gasoline (EV 1.5)</t>
  </si>
  <si>
    <t>Renewable Jet Fuel (EV 1.7)</t>
  </si>
  <si>
    <t>Renewable Natural Gas - RNG</t>
  </si>
  <si>
    <t>Renewable Compressed Natural Gas - CNG</t>
  </si>
  <si>
    <t>Derived metric</t>
  </si>
  <si>
    <t>2025 GHG Intensity</t>
  </si>
  <si>
    <t>metric tons CO2e / 1,000 RTM</t>
  </si>
  <si>
    <t>2025 Impact Report</t>
  </si>
  <si>
    <t>Environmental_Total_Fuel</t>
  </si>
  <si>
    <t>2025 Conventional Jet Fuel</t>
  </si>
  <si>
    <t>gallons</t>
  </si>
  <si>
    <t>Environmental_SAF_Share</t>
  </si>
  <si>
    <t>2025 SAF</t>
  </si>
  <si>
    <t>Operating_SAF_Share</t>
  </si>
  <si>
    <t>2025 Operating Aircraft Fuel</t>
  </si>
  <si>
    <t>2025 10-K / operating statistics</t>
  </si>
  <si>
    <t>Observed_ASM_Growth</t>
  </si>
  <si>
    <t>2025 Into-plane Fuel Price</t>
  </si>
  <si>
    <t>$/gallon</t>
  </si>
  <si>
    <t>2025 10-K</t>
  </si>
  <si>
    <t>2025 Total Operating Revenue</t>
  </si>
  <si>
    <t>$</t>
  </si>
  <si>
    <t>2025 Passenger Revenue</t>
  </si>
  <si>
    <t>2024 PF ASM</t>
  </si>
  <si>
    <t>ASM</t>
  </si>
  <si>
    <t>2025 10-K pro forma</t>
  </si>
  <si>
    <t>2025 ASM</t>
  </si>
  <si>
    <t>2025 Aircraft Scope 1 emissions</t>
  </si>
  <si>
    <t>tCO2e</t>
  </si>
  <si>
    <t>2025 Vehicle Scope 1 emissions</t>
  </si>
  <si>
    <t>2025 Facility heating Scope 1 emissions</t>
  </si>
  <si>
    <t>2025 SAF N2O Scope 1 emissions</t>
  </si>
  <si>
    <t>2025 Scope 2 market-based emissions</t>
  </si>
  <si>
    <t>2025 Scope 1 total</t>
  </si>
  <si>
    <t>2025 implied RTM</t>
  </si>
  <si>
    <t>RTM</t>
  </si>
  <si>
    <t>Derived: aircraft Scope 1 / GHG intensity × 1,000</t>
  </si>
  <si>
    <t>2025 operating SAF share</t>
  </si>
  <si>
    <t>% of operating fuel</t>
  </si>
  <si>
    <t>Derived: SAF gallons / operating aircraft fuel</t>
  </si>
  <si>
    <t>2025 environmental-reporting SAF share</t>
  </si>
  <si>
    <t>% of env. fuel</t>
  </si>
  <si>
    <t>Derived: SAF / (conventional + SAF)</t>
  </si>
  <si>
    <t>2025 Scope 3 total (context only)</t>
  </si>
  <si>
    <t>2025 Impact Report; excluded from v1 operational net-zero model</t>
  </si>
  <si>
    <t>2025 Cash &amp; Cash Equivalents</t>
  </si>
  <si>
    <t>2025 Marketable Securities</t>
  </si>
  <si>
    <t>2025 Cash + Marketable Securities</t>
  </si>
  <si>
    <t>Derived</t>
  </si>
  <si>
    <t>2025 Available Liquidity</t>
  </si>
  <si>
    <t>2025 10-K; includes unused line of credit</t>
  </si>
  <si>
    <t>2025 Operating Cash Flow</t>
  </si>
  <si>
    <t>2025 Capital Expenditures</t>
  </si>
  <si>
    <t>2026 Planned Capital Expenditures — midpoint</t>
  </si>
  <si>
    <t>2026 Q1 10-Q guidance $1.4B–$1.5B</t>
  </si>
  <si>
    <t>2031–2035 Aggregate Aircraft Commitments</t>
  </si>
  <si>
    <t>2026 Q2 10-Q; 'thereafter' after 2030</t>
  </si>
  <si>
    <t>Grand Total</t>
  </si>
  <si>
    <t>Row Labels</t>
  </si>
  <si>
    <t>2018</t>
  </si>
  <si>
    <t>2019</t>
  </si>
  <si>
    <t>2020</t>
  </si>
  <si>
    <t>2021</t>
  </si>
  <si>
    <t>2022</t>
  </si>
  <si>
    <t>43101</t>
  </si>
  <si>
    <t>2023</t>
  </si>
  <si>
    <t>43132</t>
  </si>
  <si>
    <t>2024</t>
  </si>
  <si>
    <t>43160</t>
  </si>
  <si>
    <t>2025</t>
  </si>
  <si>
    <t>43191</t>
  </si>
  <si>
    <t>2026</t>
  </si>
  <si>
    <t>43221</t>
  </si>
  <si>
    <t>43252</t>
  </si>
  <si>
    <t>43282</t>
  </si>
  <si>
    <t>43313</t>
  </si>
  <si>
    <t>43344</t>
  </si>
  <si>
    <t>43374</t>
  </si>
  <si>
    <t>43405</t>
  </si>
  <si>
    <t>43435</t>
  </si>
  <si>
    <t>43466</t>
  </si>
  <si>
    <t>43497</t>
  </si>
  <si>
    <t>43525</t>
  </si>
  <si>
    <t>43556</t>
  </si>
  <si>
    <t>43586</t>
  </si>
  <si>
    <t>43617</t>
  </si>
  <si>
    <t>43647</t>
  </si>
  <si>
    <t>43678</t>
  </si>
  <si>
    <t>43709</t>
  </si>
  <si>
    <t>43739</t>
  </si>
  <si>
    <t>43770</t>
  </si>
  <si>
    <t>43800</t>
  </si>
  <si>
    <t>43831</t>
  </si>
  <si>
    <t>43862</t>
  </si>
  <si>
    <t>43891</t>
  </si>
  <si>
    <t>43922</t>
  </si>
  <si>
    <t>43952</t>
  </si>
  <si>
    <t>43983</t>
  </si>
  <si>
    <t>44013</t>
  </si>
  <si>
    <t>44044</t>
  </si>
  <si>
    <t>44075</t>
  </si>
  <si>
    <t>44105</t>
  </si>
  <si>
    <t>44136</t>
  </si>
  <si>
    <t>44166</t>
  </si>
  <si>
    <t>44197</t>
  </si>
  <si>
    <t>44228</t>
  </si>
  <si>
    <t>44256</t>
  </si>
  <si>
    <t>44287</t>
  </si>
  <si>
    <t>44317</t>
  </si>
  <si>
    <t>44348</t>
  </si>
  <si>
    <t>44378</t>
  </si>
  <si>
    <t>44409</t>
  </si>
  <si>
    <t>44440</t>
  </si>
  <si>
    <t>44470</t>
  </si>
  <si>
    <t>44501</t>
  </si>
  <si>
    <t>44531</t>
  </si>
  <si>
    <t>44562</t>
  </si>
  <si>
    <t>44593</t>
  </si>
  <si>
    <t>44621</t>
  </si>
  <si>
    <t>44652</t>
  </si>
  <si>
    <t>44682</t>
  </si>
  <si>
    <t>44713</t>
  </si>
  <si>
    <t>44743</t>
  </si>
  <si>
    <t>44774</t>
  </si>
  <si>
    <t>44805</t>
  </si>
  <si>
    <t>44835</t>
  </si>
  <si>
    <t>44866</t>
  </si>
  <si>
    <t>44896</t>
  </si>
  <si>
    <t>44927</t>
  </si>
  <si>
    <t>44958</t>
  </si>
  <si>
    <t>44986</t>
  </si>
  <si>
    <t>45017</t>
  </si>
  <si>
    <t>45047</t>
  </si>
  <si>
    <t>45078</t>
  </si>
  <si>
    <t>45108</t>
  </si>
  <si>
    <t>45139</t>
  </si>
  <si>
    <t>45170</t>
  </si>
  <si>
    <t>45200</t>
  </si>
  <si>
    <t>45231</t>
  </si>
  <si>
    <t>45261</t>
  </si>
  <si>
    <t>45292</t>
  </si>
  <si>
    <t>45323</t>
  </si>
  <si>
    <t>45352</t>
  </si>
  <si>
    <t>45383</t>
  </si>
  <si>
    <t>45413</t>
  </si>
  <si>
    <t>45444</t>
  </si>
  <si>
    <t>45474</t>
  </si>
  <si>
    <t>45505</t>
  </si>
  <si>
    <t>45536</t>
  </si>
  <si>
    <t>45566</t>
  </si>
  <si>
    <t>45597</t>
  </si>
  <si>
    <t>45627</t>
  </si>
  <si>
    <t>45658</t>
  </si>
  <si>
    <t>45689</t>
  </si>
  <si>
    <t>45717</t>
  </si>
  <si>
    <t>45748</t>
  </si>
  <si>
    <t>45778</t>
  </si>
  <si>
    <t>45809</t>
  </si>
  <si>
    <t>45839</t>
  </si>
  <si>
    <t>45870</t>
  </si>
  <si>
    <t>45901</t>
  </si>
  <si>
    <t>45931</t>
  </si>
  <si>
    <t>45962</t>
  </si>
  <si>
    <t>45992</t>
  </si>
  <si>
    <t>46023</t>
  </si>
  <si>
    <t>46054</t>
  </si>
  <si>
    <t>46082</t>
  </si>
  <si>
    <t>46113</t>
  </si>
  <si>
    <t>46143</t>
  </si>
  <si>
    <t>46174</t>
  </si>
  <si>
    <t>46204</t>
  </si>
  <si>
    <t>Alaska Air Group Decarbonization Model — Inputs</t>
  </si>
  <si>
    <t>USER CONTROLS</t>
  </si>
  <si>
    <t>Model role</t>
  </si>
  <si>
    <t>Source / note</t>
  </si>
  <si>
    <t>Business activity adjustment vs FAA</t>
  </si>
  <si>
    <t>% / year</t>
  </si>
  <si>
    <t>Adjusts FAA system ASM baseline; drives physical operating scale</t>
  </si>
  <si>
    <t>0% = FAA baseline</t>
  </si>
  <si>
    <t>Operational efficiency adjustment vs EIA</t>
  </si>
  <si>
    <t>Adjusts EIA aircraft-efficiency baseline; drives fuel burn per unit activity</t>
  </si>
  <si>
    <t>0% = EIA baseline</t>
  </si>
  <si>
    <t>SAF share in 2030</t>
  </si>
  <si>
    <t>% of liquid jet fuel</t>
  </si>
  <si>
    <t>2030 SAF target endpoint</t>
  </si>
  <si>
    <t>Scenario input</t>
  </si>
  <si>
    <t>SAF share in 2040</t>
  </si>
  <si>
    <t>2040 SAF target endpoint</t>
  </si>
  <si>
    <t>Scenario input; capped at 100%</t>
  </si>
  <si>
    <t>SAF lifecycle GHG reduction</t>
  </si>
  <si>
    <t>% vs conventional</t>
  </si>
  <si>
    <t>Reduces lifecycle GHG intensity of SAF gallons</t>
  </si>
  <si>
    <t>Alaska states SAF can reduce lifecycle emissions by up to ~80%</t>
  </si>
  <si>
    <t>SAF market premium vs conventional</t>
  </si>
  <si>
    <t>% premium</t>
  </si>
  <si>
    <t>Market SAF price before third-party support</t>
  </si>
  <si>
    <t>Scenario input; no universal transparent SAF spot price</t>
  </si>
  <si>
    <t>Corporate / partner share of SAF premium</t>
  </si>
  <si>
    <t>% of SAF premium</t>
  </si>
  <si>
    <t>Reduces Alaska's net SAF premium; does not change physical SAF use</t>
  </si>
  <si>
    <t>Represents Scope 3 / book-and-claim / offtake support</t>
  </si>
  <si>
    <t>Fleet renewal share by 2040</t>
  </si>
  <si>
    <t>% of 2025 fleet-equivalent</t>
  </si>
  <si>
    <t>Incremental fleet benefit beyond EIA baseline</t>
  </si>
  <si>
    <t>Scenario input; 0% avoids double counting</t>
  </si>
  <si>
    <t>Ground equipment electrification by 2040</t>
  </si>
  <si>
    <t>% of vehicle emissions</t>
  </si>
  <si>
    <t>Reduces Scope 1 vehicle emissions</t>
  </si>
  <si>
    <t>Novel propulsion share by 2040</t>
  </si>
  <si>
    <t>% of aircraft activity</t>
  </si>
  <si>
    <t>Displaces liquid-fuel aircraft activity with zero-carbon propulsion proxy</t>
  </si>
  <si>
    <t>Carbon planning price</t>
  </si>
  <si>
    <t>$ / tCO2e</t>
  </si>
  <si>
    <t>Single price applied to modeled residual emissions for 2040 closure cost</t>
  </si>
  <si>
    <t>Deliberately simple planning rate; carbon-market detail retained in assumptions/context</t>
  </si>
  <si>
    <t>Catalytic Capital</t>
  </si>
  <si>
    <t>% of projected revenue</t>
  </si>
  <si>
    <t>Strategic investment that increases future SAF capacity after a lag</t>
  </si>
  <si>
    <t>Revenue-based control for usability; supply effect only</t>
  </si>
  <si>
    <t>SAF supply case</t>
  </si>
  <si>
    <t>Base</t>
  </si>
  <si>
    <t>Base / Conservative</t>
  </si>
  <si>
    <t>Selects published 2035 SAF production case</t>
  </si>
  <si>
    <t>Base = Rystad 190k bpd; Conservative = 110k bpd</t>
  </si>
  <si>
    <t>Post-2035 SAF supply growth</t>
  </si>
  <si>
    <t>Explicit growth after last published 2035 production anchor</t>
  </si>
  <si>
    <t>0% default avoids hidden extrapolation</t>
  </si>
  <si>
    <t>BACKEND ASSUMPTIONS / PUBLISHED ANCHORS</t>
  </si>
  <si>
    <t>Use</t>
  </si>
  <si>
    <t>Fuel-burn advantage of renewed fleet</t>
  </si>
  <si>
    <t>% vs replaced aircraft</t>
  </si>
  <si>
    <t>Multiplied by fleet-renewal share</t>
  </si>
  <si>
    <t>Alaska cites newer aircraft as ~15%–25% more efficient per seat; midpoint proxy</t>
  </si>
  <si>
    <t>Residual emissions neutralized in 2040</t>
  </si>
  <si>
    <t>%</t>
  </si>
  <si>
    <t>Share of modeled residual neutralized</t>
  </si>
  <si>
    <t>Net-zero closure assumption</t>
  </si>
  <si>
    <t>Model base year</t>
  </si>
  <si>
    <t>year</t>
  </si>
  <si>
    <t>Scenario start</t>
  </si>
  <si>
    <t>2025 Alaska reporting year</t>
  </si>
  <si>
    <t>2030 target year</t>
  </si>
  <si>
    <t>Near-term target</t>
  </si>
  <si>
    <t>Alaska 2030 intensity goal</t>
  </si>
  <si>
    <t>2040 net-zero year</t>
  </si>
  <si>
    <t>Long-term target</t>
  </si>
  <si>
    <t>Alaska net-zero ambition</t>
  </si>
  <si>
    <t>SAF capacity capital-intensity proxy</t>
  </si>
  <si>
    <t>$ invested / annual gallon capacity</t>
  </si>
  <si>
    <t>Converts matured catalytic capital into incremental annual SAF capacity</t>
  </si>
  <si>
    <t>DOE: &gt;$44B investment associated with &gt;3B gal/yr announced 2030 capacity</t>
  </si>
  <si>
    <t>Catalytic capital deployment lag</t>
  </si>
  <si>
    <t>years</t>
  </si>
  <si>
    <t>Delay before investment adds modeled capacity</t>
  </si>
  <si>
    <t>Stylized model assumption</t>
  </si>
  <si>
    <t>U.S. SAF probable production — 2030</t>
  </si>
  <si>
    <t>gallons / year</t>
  </si>
  <si>
    <t>Base 2030 production anchor</t>
  </si>
  <si>
    <t>Peer-reviewed probable-production estimate</t>
  </si>
  <si>
    <t>U.S. SAF announced capacity — 2030</t>
  </si>
  <si>
    <t>Upper reference only</t>
  </si>
  <si>
    <t>DOE announced project capacity; not treated as realized production</t>
  </si>
  <si>
    <t>U.S. SAF production — 2035 base</t>
  </si>
  <si>
    <t>Base 2035 production anchor</t>
  </si>
  <si>
    <t>Rystad base case: 190,000 bpd × 42 × 365</t>
  </si>
  <si>
    <t>U.S. SAF production — 2035 conservative</t>
  </si>
  <si>
    <t>Conservative 2035 production anchor</t>
  </si>
  <si>
    <t>Rystad low case: 110,000 bpd × 42 × 365</t>
  </si>
  <si>
    <t>CORSIA reference price midpoint</t>
  </si>
  <si>
    <t>Carbon-market context only</t>
  </si>
  <si>
    <t>MSCI 2033–35 range $27–$91/t midpoint</t>
  </si>
  <si>
    <t>Durable removal planning benchmark</t>
  </si>
  <si>
    <t>Rounded planning rate near high-integrity removal market estimates; active model uses user Carbon planning price</t>
  </si>
  <si>
    <t>FAA forecast</t>
  </si>
  <si>
    <t>https://www.faa.gov/data_research/aviation/aerospace_forecasts/FY_2026-2046_Full_Forecast_Document_Tables.pdf</t>
  </si>
  <si>
    <t>EIA AEO</t>
  </si>
  <si>
    <t>https://www.eia.gov/outlooks/aeo/</t>
  </si>
  <si>
    <t>DOE SAF Liftoff</t>
  </si>
  <si>
    <t>https://www.energy.gov/articles/us-department-energy-releases-new-report-pathways-commercial-liftoff-sustainable-aviation</t>
  </si>
  <si>
    <t>2030 SAF probable production</t>
  </si>
  <si>
    <t>https://www.sciencedirect.com/science/article/pii/S0961953425009274</t>
  </si>
  <si>
    <t>2035 SAF cases</t>
  </si>
  <si>
    <t>https://www.rystadenergy.com/news/booming-biofuels-us-diesel-sustainable-aviation-fuel</t>
  </si>
  <si>
    <t>MSCI CORSIA</t>
  </si>
  <si>
    <t>https://www.msci.com/research-and-insights/paper/corsia-costs-and-implications-for-the-airline-industry</t>
  </si>
  <si>
    <t>Nasdaq/Puro context</t>
  </si>
  <si>
    <t>https://www.nasdaq.com/products/european-markets/carbon-removal-platform</t>
  </si>
  <si>
    <t>Years From Base</t>
  </si>
  <si>
    <t>Business Activity Index</t>
  </si>
  <si>
    <t>Operational Efficiency Index</t>
  </si>
  <si>
    <t>Fleet Renewal Share</t>
  </si>
  <si>
    <t>Fleet Fuel Factor</t>
  </si>
  <si>
    <t>Novel Propulsion Share</t>
  </si>
  <si>
    <t>Pre-Propulsion Fuel Gallons</t>
  </si>
  <si>
    <t>Liquid Jet Fuel Gallons</t>
  </si>
  <si>
    <t>Target SAF Share</t>
  </si>
  <si>
    <t>Target SAF Gallons</t>
  </si>
  <si>
    <t>U.S. SAF Availability</t>
  </si>
  <si>
    <t>Market Capture Required</t>
  </si>
  <si>
    <t>SAF Supply Gap</t>
  </si>
  <si>
    <t>Effective SAF Share</t>
  </si>
  <si>
    <t>Effective SAF Gallons</t>
  </si>
  <si>
    <t>Conventional Gallons</t>
  </si>
  <si>
    <t>Conventional Fuel $/gal</t>
  </si>
  <si>
    <t>SAF Market $/gal</t>
  </si>
  <si>
    <t>Alaska Net SAF $/gal</t>
  </si>
  <si>
    <t>Fuel Cost – No SAF</t>
  </si>
  <si>
    <t>Fuel Cost – With SAF</t>
  </si>
  <si>
    <t>Net Incremental SAF Cost</t>
  </si>
  <si>
    <t>Corporate / Partner Contribution</t>
  </si>
  <si>
    <t>Projected Revenue</t>
  </si>
  <si>
    <t>SAF Cost / Revenue</t>
  </si>
  <si>
    <t>Carbon Mix Factor</t>
  </si>
  <si>
    <t>Aircraft GHG Intensity (MtCO2e / 1,000 RTM)</t>
  </si>
  <si>
    <t>Reduction vs 2019</t>
  </si>
  <si>
    <t>2030 Target Low</t>
  </si>
  <si>
    <t>2030 Target High</t>
  </si>
  <si>
    <t>2040 Net Zero</t>
  </si>
  <si>
    <t>Aircraft Emissions (tCO2e)</t>
  </si>
  <si>
    <t>Ground Electrification Share</t>
  </si>
  <si>
    <t>Vehicle Emissions (tCO2e)</t>
  </si>
  <si>
    <t>Facility Heating Emissions (tCO2e)</t>
  </si>
  <si>
    <t>Scope 2 Market Emissions (tCO2e)</t>
  </si>
  <si>
    <t>Operational Residual Emissions (tCO2e)</t>
  </si>
  <si>
    <t>Carbon Planning Price</t>
  </si>
  <si>
    <t>Carbon Closure Cost</t>
  </si>
  <si>
    <t>Total Modeled Decarb Premium</t>
  </si>
  <si>
    <t>Decarb Cost / Revenue</t>
  </si>
  <si>
    <t>Decision Outputs</t>
  </si>
  <si>
    <t>2030 TARGET + SAF MARKET + REVENUE BURDEN</t>
  </si>
  <si>
    <t>Interpretation</t>
  </si>
  <si>
    <t>index</t>
  </si>
  <si>
    <t>FAA system ASM baseline plus user adjustment</t>
  </si>
  <si>
    <t>EIA aircraft-efficiency baseline plus user adjustment</t>
  </si>
  <si>
    <t>factor</t>
  </si>
  <si>
    <t>Incremental fleet-renewal effect; 1.00 = none</t>
  </si>
  <si>
    <t>Zero-carbon propulsion proxy</t>
  </si>
  <si>
    <t>User-selected 2030 endpoint</t>
  </si>
  <si>
    <t>Target share after physical U.S. supply constraint</t>
  </si>
  <si>
    <t>Adjusted U.S. SAF Availability</t>
  </si>
  <si>
    <t>Selected supply case + matured catalytic capacity</t>
  </si>
  <si>
    <t>Desired Alaska SAF procurement</t>
  </si>
  <si>
    <t>Supply-constrained Alaska SAF procurement</t>
  </si>
  <si>
    <t>% of U.S. supply</t>
  </si>
  <si>
    <t>Share of adjusted U.S. supply Alaska must secure</t>
  </si>
  <si>
    <t>Shortfall if target exceeds total modeled U.S. availability</t>
  </si>
  <si>
    <t>Required SAF Share — 10% Goal</t>
  </si>
  <si>
    <t>Minimum effective SAF share for 10% intensity reduction</t>
  </si>
  <si>
    <t>Required SAF Share — 14% Goal</t>
  </si>
  <si>
    <t>Minimum effective SAF share for 14% intensity reduction</t>
  </si>
  <si>
    <t>Required SAF Gallons — 10% Goal</t>
  </si>
  <si>
    <t>Physical SAF requirement for lower target</t>
  </si>
  <si>
    <t>Required SAF Gallons — 14% Goal</t>
  </si>
  <si>
    <t>Physical SAF requirement for upper target</t>
  </si>
  <si>
    <t>Required Market Capture — 10% Goal</t>
  </si>
  <si>
    <t>Required gallons / adjusted supply</t>
  </si>
  <si>
    <t>Required Market Capture — 14% Goal</t>
  </si>
  <si>
    <t>Modeled GHG Intensity</t>
  </si>
  <si>
    <t>MtCO2e / 1,000 RTM</t>
  </si>
  <si>
    <t>Supply-constrained emissions-intensity result</t>
  </si>
  <si>
    <t>Reduction from 2019 baseline</t>
  </si>
  <si>
    <t>Target Status</t>
  </si>
  <si>
    <t>2030 target attainment</t>
  </si>
  <si>
    <t>2025 revenue scaled with business activity</t>
  </si>
  <si>
    <t>SAF premium borne by Alaska after partner support</t>
  </si>
  <si>
    <t>Premium shifted to third-party environmental-attribute buyers</t>
  </si>
  <si>
    <t>% revenue</t>
  </si>
  <si>
    <t>Net SAF premium / projected revenue</t>
  </si>
  <si>
    <t>Baseline Aircraft Capital / Revenue</t>
  </si>
  <si>
    <t>Disclosed capital/commitment burden normalized to revenue</t>
  </si>
  <si>
    <t>Known Capital + SAF + Catalytic / Revenue</t>
  </si>
  <si>
    <t>Indicative modeled spending burden; not a solvency ratio</t>
  </si>
  <si>
    <t>2040 NET-ZERO + REVENUE BURDEN</t>
  </si>
  <si>
    <t>User-controlled incremental renewal share</t>
  </si>
  <si>
    <t>User-selected 2040 endpoint</t>
  </si>
  <si>
    <t>Supply-constrained SAF share</t>
  </si>
  <si>
    <t>Selected 2035 case + explicit post-2035 growth + catalytic capacity</t>
  </si>
  <si>
    <t>Shortfall if target exceeds modeled U.S. availability</t>
  </si>
  <si>
    <t>Modeled Aircraft GHG Intensity</t>
  </si>
  <si>
    <t>Aircraft intensity after physical levers</t>
  </si>
  <si>
    <t>Aircraft intensity reduction</t>
  </si>
  <si>
    <t>Aircraft Emissions</t>
  </si>
  <si>
    <t>Absolute aircraft emissions</t>
  </si>
  <si>
    <t>Operational Residual Emissions</t>
  </si>
  <si>
    <t>Aircraft + vehicle + facility + market-based Scope 2</t>
  </si>
  <si>
    <t>Single user-controlled planning price</t>
  </si>
  <si>
    <t>Residual emissions × carbon planning price × neutralization share</t>
  </si>
  <si>
    <t>Third-party support for SAF environmental attribute</t>
  </si>
  <si>
    <t>Net SAF premium + carbon closure cost</t>
  </si>
  <si>
    <t>Modeled premium / projected revenue</t>
  </si>
  <si>
    <t>Remaining Gap After Carbon Closure</t>
  </si>
  <si>
    <t>Zero at 100% neutralization assumption</t>
  </si>
  <si>
    <t>Alaska Air Group Decarbonization Scenario Dashboard</t>
  </si>
  <si>
    <t>GHG Intensity</t>
  </si>
  <si>
    <t>2030 10%</t>
  </si>
  <si>
    <t>2030 14%</t>
  </si>
  <si>
    <t>Base SAF Supply</t>
  </si>
  <si>
    <t>Conservative SAF Supply</t>
  </si>
  <si>
    <t>Adjusted Selected Supply</t>
  </si>
  <si>
    <t>Alaska Target SAF</t>
  </si>
  <si>
    <t>2030 SAF Share</t>
  </si>
  <si>
    <t>Percent</t>
  </si>
  <si>
    <t>2030 Revenue Burden</t>
  </si>
  <si>
    <t>Required — 10%</t>
  </si>
  <si>
    <t>Baseline aircraft capital</t>
  </si>
  <si>
    <t>2030 Goal Test</t>
  </si>
  <si>
    <t>SAF Market Feasibility</t>
  </si>
  <si>
    <t>Economics as Share of Revenue</t>
  </si>
  <si>
    <t>Required — 14%</t>
  </si>
  <si>
    <t>Net SAF premium</t>
  </si>
  <si>
    <t>Target SAF share</t>
  </si>
  <si>
    <t>Projected revenue — 2030</t>
  </si>
  <si>
    <t>Target</t>
  </si>
  <si>
    <t>Effective SAF share</t>
  </si>
  <si>
    <t>U.S. SAF availability — 2030</t>
  </si>
  <si>
    <t>Net SAF premium / Revenue</t>
  </si>
  <si>
    <t>Effective</t>
  </si>
  <si>
    <t>Required SAF share — 14%</t>
  </si>
  <si>
    <t>DOE announced capacity ref.</t>
  </si>
  <si>
    <t>Baseline aircraft capital / Revenue</t>
  </si>
  <si>
    <t>Modeled GHG intensity</t>
  </si>
  <si>
    <t>Alaska target SAF gallons</t>
  </si>
  <si>
    <t>Catalytic Capital / Revenue</t>
  </si>
  <si>
    <t>Market capture required</t>
  </si>
  <si>
    <t>Known capital + SAF + catalytic / Revenue</t>
  </si>
  <si>
    <t>Target status</t>
  </si>
  <si>
    <t>SAF supply gap</t>
  </si>
  <si>
    <t>Partner share of SAF premium</t>
  </si>
  <si>
    <t>Operational efficiency index</t>
  </si>
  <si>
    <t>Net SAF premium — 2030</t>
  </si>
  <si>
    <t>2040 Net-Zero Closure — Single Carbon Planning Price</t>
  </si>
  <si>
    <t>Net SAF Premium</t>
  </si>
  <si>
    <t>Aircraft GHG Intensity</t>
  </si>
  <si>
    <t>Simplified architecture: FAA activity and EIA efficiency drive physical operations. Projected revenue is 2025 Alaska revenue scaled by business activity; FAA yield is no longer used. All major financial burdens are normalized to projected revenue. Catalytic Capital is a % of revenue and only increases future SAF supply. Carbon closure uses one planning price ($200/t by default) rather than a dynamic CORSIA/removal blend. Carbon-market research remains documented in the assumptions sheets but is not part of the active pricing engine.</t>
  </si>
  <si>
    <t>U.S. SAF Supply Outlook — Observed Actuals, Published Anchors, and Alaska Demand</t>
  </si>
  <si>
    <t>EPA Actual / YTD SAF (gal)</t>
  </si>
  <si>
    <t>Actual Status</t>
  </si>
  <si>
    <t>Probable / Base Production</t>
  </si>
  <si>
    <t>Conservative Production</t>
  </si>
  <si>
    <t>DOE Announced Capacity Ref.</t>
  </si>
  <si>
    <t>Selected Base Supply</t>
  </si>
  <si>
    <t>Catalytic Capital Investment</t>
  </si>
  <si>
    <t>Matured Catalytic Capital</t>
  </si>
  <si>
    <t>Incremental SAF Capacity</t>
  </si>
  <si>
    <t>Alaska Target SAF Gallons</t>
  </si>
  <si>
    <t>Alaska Effective SAF Gallons</t>
  </si>
  <si>
    <t>Supply Gap</t>
  </si>
  <si>
    <t>Source / Note</t>
  </si>
  <si>
    <t>Source URL</t>
  </si>
  <si>
    <t>EPA RFS-tracked renewable jet fuel volume</t>
  </si>
  <si>
    <t>https://www.epa.gov/fuels-registration-reporting-and-compliance-help/spreadsheet-rin-generation-and-renewable-fuel-0</t>
  </si>
  <si>
    <t>EPA full-year actual; common starting point for forward supply scenarios</t>
  </si>
  <si>
    <t>EPA YTD actual shown separately; forward scenarios are not annualized from partial-year data</t>
  </si>
  <si>
    <t>Base path heads to the peer-reviewed 2030 probable-production anchor; conservative path independently compounds toward the 2035 Rystad low case</t>
  </si>
  <si>
    <t>Base path heads to Rystad 190k bpd case; conservative path heads to Rystad 110k bpd case</t>
  </si>
  <si>
    <t>Post-2035 supply uses explicit user growth; default 0% holds the 2035 endpoint flat</t>
  </si>
  <si>
    <t>Model scenario after published 2035 anchor</t>
  </si>
  <si>
    <t>Capital Allocation Context — All Key Burdens as Share of Revenue</t>
  </si>
  <si>
    <t>Baseline Fleet / Aircraft Capital</t>
  </si>
  <si>
    <t>Capital Basis</t>
  </si>
  <si>
    <t>Baseline Capital / Revenue</t>
  </si>
  <si>
    <t>SAF Premium / Revenue</t>
  </si>
  <si>
    <t>Catalytic Capital % of Revenue</t>
  </si>
  <si>
    <t>Catalytic Investment</t>
  </si>
  <si>
    <t>Total capex actual</t>
  </si>
  <si>
    <t>https://www.sec.gov/Archives/edgar/data/766421/000076642126000010/alk-20251231.htm</t>
  </si>
  <si>
    <t>Total capex plan midpoint</t>
  </si>
  <si>
    <t>2026 Q1 10-Q guidance</t>
  </si>
  <si>
    <t>https://www.sec.gov/Archives/edgar/data/766421/000076642126000021/alk-20260331.htm</t>
  </si>
  <si>
    <t>Aircraft contractual commitments</t>
  </si>
  <si>
    <t>2026 Q2 10-Q</t>
  </si>
  <si>
    <t>https://www.sec.gov/Archives/edgar/data/766421/000076642126000041/alk-20260630.htm</t>
  </si>
  <si>
    <t>2031–2035</t>
  </si>
  <si>
    <t>Aggregate aircraft commitments</t>
  </si>
  <si>
    <t>2026 Q2 10-Q; aggregate aircraft commitments shown in Alaska Base</t>
  </si>
  <si>
    <t>FAA Baseline — System Activity, Nominal Yield, and Real Yield</t>
  </si>
  <si>
    <t>System ASMs (bn)</t>
  </si>
  <si>
    <t>Activity Index (2025=1)</t>
  </si>
  <si>
    <t>System Nominal Yield (¢/RPM)</t>
  </si>
  <si>
    <t>FAA CPI Index</t>
  </si>
  <si>
    <t>Real Yield Index (2025=1)</t>
  </si>
  <si>
    <t>Published FAA anchors</t>
  </si>
  <si>
    <t>FAA Table A-2 baseline; annual values geometrically interpolated between published anchor years</t>
  </si>
  <si>
    <t>2025: ASM 1,375.0; yield 16.19; CPI 3.00</t>
  </si>
  <si>
    <t>2026: ASM 1,405.3; yield 16.36; CPI 3.08</t>
  </si>
  <si>
    <t>2031: ASM 1,581.0; yield 17.98; CPI 3.46</t>
  </si>
  <si>
    <t>2036: ASM 1,816.5; yield 19.73; CPI 3.90</t>
  </si>
  <si>
    <t>2041: ASM 2,057.2; yield 21.27; CPI 4.34</t>
  </si>
  <si>
    <t>2046: ASM 2,315.0; yield 22.97; CPI 4.84</t>
  </si>
  <si>
    <t>Carbon Market Assumptions — Context, Not a Dynamic Pricing Engine</t>
  </si>
  <si>
    <t>Market / Instrument</t>
  </si>
  <si>
    <t>Reference Price</t>
  </si>
  <si>
    <t>Availability / Volume</t>
  </si>
  <si>
    <t>Timeframe</t>
  </si>
  <si>
    <t>How we use it</t>
  </si>
  <si>
    <t>Status</t>
  </si>
  <si>
    <t>Illustrative CORSIA Share</t>
  </si>
  <si>
    <t>CORSIA Price</t>
  </si>
  <si>
    <t>Removal Price</t>
  </si>
  <si>
    <t>Implied Weighted Price</t>
  </si>
  <si>
    <t>Broad voluntary carbon credits</t>
  </si>
  <si>
    <t>$/tCO2e</t>
  </si>
  <si>
    <t>2025 retirements</t>
  </si>
  <si>
    <t>Context only; not used in active model</t>
  </si>
  <si>
    <t>Unused / context</t>
  </si>
  <si>
    <t>https://www.msci.com/research-and-insights/blog-post/carbon-credits-come-of-age-in-2025</t>
  </si>
  <si>
    <t>Higher-rated voluntary credits (BBB+)</t>
  </si>
  <si>
    <t>2025 average</t>
  </si>
  <si>
    <t>Context only</t>
  </si>
  <si>
    <t>CORSIA-eligible credits</t>
  </si>
  <si>
    <t>$/tCO2e midpoint</t>
  </si>
  <si>
    <t>2033–2035</t>
  </si>
  <si>
    <t>Reference for airline compliance exposure; not blended into net-zero closure cost</t>
  </si>
  <si>
    <t>Durable carbon removal planning benchmark</t>
  </si>
  <si>
    <t>Planning value</t>
  </si>
  <si>
    <t>Reference supporting the active $200/t default</t>
  </si>
  <si>
    <t>Active assumption reference</t>
  </si>
  <si>
    <t>Puro CORCX observed reference</t>
  </si>
  <si>
    <t>EUR/tCO2e</t>
  </si>
  <si>
    <t>Aug/Sep 2026</t>
  </si>
  <si>
    <t>Observed durable-removal market reference only</t>
  </si>
  <si>
    <t>Active model carbon planning price</t>
  </si>
  <si>
    <t>Scenario</t>
  </si>
  <si>
    <t>Residual emissions × planning price × neutralization share</t>
  </si>
  <si>
    <t>ACTIVE</t>
  </si>
  <si>
    <t>Inputs!B14</t>
  </si>
  <si>
    <t>Decision</t>
  </si>
  <si>
    <t>Active model</t>
  </si>
  <si>
    <t>Use a single $200/t planning price</t>
  </si>
  <si>
    <t>Why</t>
  </si>
  <si>
    <t>CORSIA and durable removals address different obligations; weighting them without a reliable coverage share would create false precision.</t>
  </si>
  <si>
    <t>Data Map — Active vs. Context</t>
  </si>
  <si>
    <t>Category</t>
  </si>
  <si>
    <t>Best Source</t>
  </si>
  <si>
    <t>Data Type</t>
  </si>
  <si>
    <t>Model Status</t>
  </si>
  <si>
    <t>Confidence</t>
  </si>
  <si>
    <t>Key Caveat</t>
  </si>
  <si>
    <t>Alaska business</t>
  </si>
  <si>
    <t>Total operating revenue</t>
  </si>
  <si>
    <t>10-K</t>
  </si>
  <si>
    <t>Observed company primary</t>
  </si>
  <si>
    <t>ACTIVE — financial denominator</t>
  </si>
  <si>
    <t>Very high</t>
  </si>
  <si>
    <t>Revenue is not cash availability</t>
  </si>
  <si>
    <t>Fuel gallons / into-plane fuel price</t>
  </si>
  <si>
    <t>Operating vs environmental fuel boundary differs</t>
  </si>
  <si>
    <t>Capex / aircraft commitments</t>
  </si>
  <si>
    <t>10-K / 10-Q</t>
  </si>
  <si>
    <t>Observed / contractual primary</t>
  </si>
  <si>
    <t>ACTIVE — normalized to revenue</t>
  </si>
  <si>
    <t>Commitments are not identical to annual capex</t>
  </si>
  <si>
    <t>OCF / liquidity</t>
  </si>
  <si>
    <t>CONTEXT ONLY</t>
  </si>
  <si>
    <t>No longer used as model denominator</t>
  </si>
  <si>
    <t>Alaska carbon</t>
  </si>
  <si>
    <t>2019 / 2025 GHG intensity</t>
  </si>
  <si>
    <t>Impact Report</t>
  </si>
  <si>
    <t>Company sustainability primary</t>
  </si>
  <si>
    <t>High</t>
  </si>
  <si>
    <t>Not SEC financial reporting</t>
  </si>
  <si>
    <t>Scope 1 / market-based Scope 2 emissions</t>
  </si>
  <si>
    <t>Scope 3 excluded</t>
  </si>
  <si>
    <t>Airline activity</t>
  </si>
  <si>
    <t>System ASM outlook</t>
  </si>
  <si>
    <t>FAA Aerospace Forecast</t>
  </si>
  <si>
    <t>Official forecast</t>
  </si>
  <si>
    <t>High for industry baseline</t>
  </si>
  <si>
    <t>Not Alaska-specific</t>
  </si>
  <si>
    <t>Airline pricing</t>
  </si>
  <si>
    <t>Yield / CPI / real yield</t>
  </si>
  <si>
    <t>Removed from revenue projection for usability</t>
  </si>
  <si>
    <t>Airline efficiency</t>
  </si>
  <si>
    <t>Aircraft Efficiency Index</t>
  </si>
  <si>
    <t>Industry average</t>
  </si>
  <si>
    <t>Conventional fuel</t>
  </si>
  <si>
    <t>Jet-fuel price index</t>
  </si>
  <si>
    <t>EIA AEO + Alaska actual</t>
  </si>
  <si>
    <t>Official forecast + company actual</t>
  </si>
  <si>
    <t>Index applied to Alaska 2025 delivered price</t>
  </si>
  <si>
    <t>SAF actuals</t>
  </si>
  <si>
    <t>Renewable jet gallons</t>
  </si>
  <si>
    <t>EPA RFS</t>
  </si>
  <si>
    <t>Observed regulatory primary</t>
  </si>
  <si>
    <t>RFS-tracked, not every global gallon</t>
  </si>
  <si>
    <t>SAF supply</t>
  </si>
  <si>
    <t>2030 probable production</t>
  </si>
  <si>
    <t>Peer-reviewed study</t>
  </si>
  <si>
    <t>External forecast</t>
  </si>
  <si>
    <t>Medium-high</t>
  </si>
  <si>
    <t>Execution/policy dependent</t>
  </si>
  <si>
    <t>2030 announced capacity</t>
  </si>
  <si>
    <t>DOE Liftoff</t>
  </si>
  <si>
    <t>Official announced pipeline</t>
  </si>
  <si>
    <t>CONTEXT / upper reference</t>
  </si>
  <si>
    <t>High as announced capacity</t>
  </si>
  <si>
    <t>Capacity ≠ production</t>
  </si>
  <si>
    <t>2035 base / conservative</t>
  </si>
  <si>
    <t>Rystad</t>
  </si>
  <si>
    <t>ACTIVE scenario</t>
  </si>
  <si>
    <t>Medium</t>
  </si>
  <si>
    <t>Third-party forecast</t>
  </si>
  <si>
    <t>Post-2035 growth</t>
  </si>
  <si>
    <t>User assumption</t>
  </si>
  <si>
    <t>Low by design</t>
  </si>
  <si>
    <t>Default 0%</t>
  </si>
  <si>
    <t>SAF price</t>
  </si>
  <si>
    <t>Market premium vs jet</t>
  </si>
  <si>
    <t>User + DOE context</t>
  </si>
  <si>
    <t>Medium-low</t>
  </si>
  <si>
    <t>No universal transparent SAF spot market</t>
  </si>
  <si>
    <t>SAF financing</t>
  </si>
  <si>
    <t>Corporate premium coverage</t>
  </si>
  <si>
    <t>Contract scenario</t>
  </si>
  <si>
    <t>Depends on commercial agreements</t>
  </si>
  <si>
    <t>Carbon price</t>
  </si>
  <si>
    <t>Single planning price</t>
  </si>
  <si>
    <t>User + MSCI/Puro context</t>
  </si>
  <si>
    <t>Simplification; not a market forecast</t>
  </si>
  <si>
    <t>Carbon markets</t>
  </si>
  <si>
    <t>CORSIA / broad VCM / Puro details</t>
  </si>
  <si>
    <t>MSCI / Nasdaq / Puro</t>
  </si>
  <si>
    <t>Observed / forecast context</t>
  </si>
  <si>
    <t>Mixed</t>
  </si>
  <si>
    <t>Different products/obligations should not be conflated</t>
  </si>
  <si>
    <t>Model Decisions — Simplification &amp; Usability</t>
  </si>
  <si>
    <t>Chosen treatment</t>
  </si>
  <si>
    <t>Active implementation</t>
  </si>
  <si>
    <t>Alternative considered</t>
  </si>
  <si>
    <t>Notes</t>
  </si>
  <si>
    <t>Financial anchor</t>
  </si>
  <si>
    <t>Revenue</t>
  </si>
  <si>
    <t>Most intuitive denominator for other users and consistently available from Alaska filings</t>
  </si>
  <si>
    <t>Projected Revenue = 2025 Revenue × Business Activity Index</t>
  </si>
  <si>
    <t>FAA real-yield-adjusted revenue; OCF-normalized burden</t>
  </si>
  <si>
    <t>Revenue is a scale / burden denominator, not a cash-availability measure.</t>
  </si>
  <si>
    <t>Business activity</t>
  </si>
  <si>
    <t>FAA system ASM baseline + user adjustment</t>
  </si>
  <si>
    <t>Avoids extrapolating Alaska's short two-year history</t>
  </si>
  <si>
    <t>FAA annual Activity Index × (1 + user adjustment)^years</t>
  </si>
  <si>
    <t>Alaska 2024 PF→2025 ASM growth CAGR</t>
  </si>
  <si>
    <t>FAA remains an industry baseline, not an Alaska-specific forecast.</t>
  </si>
  <si>
    <t>Operational efficiency</t>
  </si>
  <si>
    <t>EIA aircraft-efficiency index + user adjustment</t>
  </si>
  <si>
    <t>Uses published annual industry efficiency series directly</t>
  </si>
  <si>
    <t>EIA Efficiency Index × (1 + user adjustment)^years</t>
  </si>
  <si>
    <t>Flat 0.8% annual improvement assumption</t>
  </si>
  <si>
    <t>Fleet-renewal lever is incremental beyond this baseline.</t>
  </si>
  <si>
    <t>Financial burden metrics</t>
  </si>
  <si>
    <t>Share of projected revenue</t>
  </si>
  <si>
    <t>Comparable across years and easy to communicate</t>
  </si>
  <si>
    <t>SAF premium / Revenue; Fleet capital / Revenue; Combined known burden / Revenue</t>
  </si>
  <si>
    <t>Share of OCF</t>
  </si>
  <si>
    <t>Do not interpret as solvency or free-cash-flow analysis.</t>
  </si>
  <si>
    <t>Simple, reusable control for non-financial-model users</t>
  </si>
  <si>
    <t>Projected Revenue × Catalytic Capital %</t>
  </si>
  <si>
    <t>% of OCF / available cash</t>
  </si>
  <si>
    <t>Investment only increases future SAF capacity after lag; no automatic price discount.</t>
  </si>
  <si>
    <t>Carbon pricing</t>
  </si>
  <si>
    <t>Avoids false precision from mixing non-equivalent carbon markets</t>
  </si>
  <si>
    <t>Carbon Closure Cost = Residual tCO2e × Carbon Planning Price × Neutralization %</t>
  </si>
  <si>
    <t>Dynamic CORSIA + durable-removal weighted price</t>
  </si>
  <si>
    <t>Default = $200/t. CORSIA and removal market references stay documented as context.</t>
  </si>
  <si>
    <t>CORSIA vs removals</t>
  </si>
  <si>
    <t>Keep separate conceptually</t>
  </si>
  <si>
    <t>CORSIA compliance and durable removals address different obligations</t>
  </si>
  <si>
    <t>No CORSIA cost in core model until covered-emissions share is explicitly modeled</t>
  </si>
  <si>
    <t>Blend prices without route/emissions coverage data</t>
  </si>
  <si>
    <t>A weighted-price sensitivity is documented, but not used.</t>
  </si>
  <si>
    <t>Published anchors + explicit scenario</t>
  </si>
  <si>
    <t>Emerging market history is too nonlinear for trend fitting</t>
  </si>
  <si>
    <t>EPA actuals → 2030 probable production → 2035 base/conservative → explicit post-2035 growth</t>
  </si>
  <si>
    <t>Linear or exponential fit to EPA history</t>
  </si>
  <si>
    <t>DOE 2030 announced capacity remains an upper reference, not realized production.</t>
  </si>
  <si>
    <t>SAF pricing</t>
  </si>
  <si>
    <t>Market premium + partner coverage</t>
  </si>
  <si>
    <t>Separates physical market price from Alaska's net burden</t>
  </si>
  <si>
    <t>Net SAF Price = Jet Price × [1 + Market Premium × (1 − Partner Share)]</t>
  </si>
  <si>
    <t>One fixed SAF price</t>
  </si>
  <si>
    <t>Catalytic Capital does not automatically lower price.</t>
  </si>
  <si>
    <t>Unused / context data</t>
  </si>
  <si>
    <t>Document rather than delete</t>
  </si>
  <si>
    <t>Preserves research while keeping active logic legible</t>
  </si>
  <si>
    <t>See Unused Data sheet</t>
  </si>
  <si>
    <t>Leave all data mixed into active tabs</t>
  </si>
  <si>
    <t>Archive/context sheets can be physically separated later without changing core logic.</t>
  </si>
  <si>
    <t>Illustrative carbon-price blend (NOT active)</t>
  </si>
  <si>
    <t>CORSIA Share</t>
  </si>
  <si>
    <t>Formula</t>
  </si>
  <si>
    <t>Implied Price</t>
  </si>
  <si>
    <t>CORSIA midpoint $59/t + durable removal benchmark $200/t</t>
  </si>
  <si>
    <t>0% × $59 + 100% × $200</t>
  </si>
  <si>
    <t>10% × $59 + 90% × $200</t>
  </si>
  <si>
    <t>20% × $59 + 80% × $200</t>
  </si>
  <si>
    <t>25% × $59 + 75% × $200</t>
  </si>
  <si>
    <t>30% × $59 + 70% × $200</t>
  </si>
  <si>
    <t>50% × $59 + 50% × $200</t>
  </si>
  <si>
    <t>Reference: a 20% CORSIA / 80% removal blend equals $171.80/t; a 25% / 75% blend equals $164.75/t. The active model deliberately retains $200/t because a true CORSIA-covered emissions share has not been established and CORSIA credits are not a substitute for durable net-zero removals.</t>
  </si>
  <si>
    <t>Unused / Context Data — Not in the Active Model Engine</t>
  </si>
  <si>
    <t>Sheet / Dataset</t>
  </si>
  <si>
    <t>Unused or context fields</t>
  </si>
  <si>
    <t>Why not active</t>
  </si>
  <si>
    <t>Keep for</t>
  </si>
  <si>
    <t>Recommendation</t>
  </si>
  <si>
    <t>Active replacement</t>
  </si>
  <si>
    <t>All current rows (e.g., Twelve Moses Lake 50k gal datapoint)</t>
  </si>
  <si>
    <t>Single project datapoint is not representative of U.S. supply</t>
  </si>
  <si>
    <t>Research archive / case examples</t>
  </si>
  <si>
    <t>Move to Archive / Research group</t>
  </si>
  <si>
    <t>SAF Supply published national anchors</t>
  </si>
  <si>
    <t>Targets</t>
  </si>
  <si>
    <t>UK/EU blend mandates; U.S. production target rows</t>
  </si>
  <si>
    <t>Policy context is outside current physical/economic engine</t>
  </si>
  <si>
    <t>Policy discussion</t>
  </si>
  <si>
    <t>Archive separately</t>
  </si>
  <si>
    <t>SAF Supply; user target shares</t>
  </si>
  <si>
    <t>Alaska Report</t>
  </si>
  <si>
    <t>RPMs, passengers, ASMs/gal, RASM, PRASM, CASMex, adjusted pretax margin</t>
  </si>
  <si>
    <t>Not required for current emissions / revenue-burden calculations</t>
  </si>
  <si>
    <t>Operational QA / richer airline economics</t>
  </si>
  <si>
    <t>Keep as supporting company data</t>
  </si>
  <si>
    <t>Alaska Base + Model</t>
  </si>
  <si>
    <t>2024 PF operating metrics / YoY growth row</t>
  </si>
  <si>
    <t>Short history no longer drives forward growth</t>
  </si>
  <si>
    <t>Historical calibration</t>
  </si>
  <si>
    <t>Keep as QA only</t>
  </si>
  <si>
    <t>FAA activity baseline</t>
  </si>
  <si>
    <t>Alaska Base</t>
  </si>
  <si>
    <t>Passenger Revenue</t>
  </si>
  <si>
    <t>Core model uses total operating revenue as common denominator</t>
  </si>
  <si>
    <t>Optional passenger-fare analysis</t>
  </si>
  <si>
    <t>Total Operating Revenue</t>
  </si>
  <si>
    <t>2024 PF ASM / 2025 ASM / observed ASM growth</t>
  </si>
  <si>
    <t>Forward activity now uses FAA baseline</t>
  </si>
  <si>
    <t>Historical validation</t>
  </si>
  <si>
    <t>FAA Forecast Activity Index</t>
  </si>
  <si>
    <t>2025 SAF N2O Scope 1 line</t>
  </si>
  <si>
    <t>Not separately modeled in residual; aircraft intensity approach captures aggregate aircraft effect</t>
  </si>
  <si>
    <t>Disclosure reconciliation</t>
  </si>
  <si>
    <t>Aircraft Scope 1 / intensity model</t>
  </si>
  <si>
    <t>Core residual sums modeled components rather than using reported total directly</t>
  </si>
  <si>
    <t>QA / reconciliation</t>
  </si>
  <si>
    <t>Aircraft + vehicle + facility components</t>
  </si>
  <si>
    <t>Environmental-reporting SAF share</t>
  </si>
  <si>
    <t>Active model normalizes from operating fuel boundary</t>
  </si>
  <si>
    <t>Boundary QA</t>
  </si>
  <si>
    <t>Operating SAF share</t>
  </si>
  <si>
    <t>2025 Scope 3 total</t>
  </si>
  <si>
    <t>Scope 3 is outside v1 operational net-zero boundary</t>
  </si>
  <si>
    <t>Future expanded inventory</t>
  </si>
  <si>
    <t>Keep visibly excluded</t>
  </si>
  <si>
    <t>Scope 1 + market-based Scope 2 proxy</t>
  </si>
  <si>
    <t>Cash, marketable securities, cash + securities, available liquidity, OCF</t>
  </si>
  <si>
    <t>Financial normalization now uses revenue; model is not a liquidity / solvency forecast</t>
  </si>
  <si>
    <t>Financial-health context</t>
  </si>
  <si>
    <t>Keep in company-data archive</t>
  </si>
  <si>
    <t>EIA_AEO</t>
  </si>
  <si>
    <t>Fuel Cost (1987 $/MMBtu) raw series</t>
  </si>
  <si>
    <t>Active model uses the derived Fuel Price Index</t>
  </si>
  <si>
    <t>Source audit</t>
  </si>
  <si>
    <t>Keep as supporting raw field</t>
  </si>
  <si>
    <t>Fuel Price Index</t>
  </si>
  <si>
    <t>Average Aircraft Stock Efficiency raw level</t>
  </si>
  <si>
    <t>Active model uses EIA Efficiency Index</t>
  </si>
  <si>
    <t>Commercial Jet Fuel Consumption (trillion Btu)</t>
  </si>
  <si>
    <t>Not needed for Alaska fuel-demand calculation</t>
  </si>
  <si>
    <t>Industry context</t>
  </si>
  <si>
    <t>Archive/context</t>
  </si>
  <si>
    <t>Alaska operating fuel + FAA activity</t>
  </si>
  <si>
    <t>EPA_SAF</t>
  </si>
  <si>
    <t>Month, Producer Type, D Code, Fuel Category, RINs, Period</t>
  </si>
  <si>
    <t>Core annual SAF actuals only require RIN Year, Volume (Gal.), SAF_Flag</t>
  </si>
  <si>
    <t>Detailed EPA QA / pathway analysis</t>
  </si>
  <si>
    <t>Keep raw; do not mix into dashboard</t>
  </si>
  <si>
    <t>RIN Year + Volume + SAF_Flag</t>
  </si>
  <si>
    <t>EPA_SAF_PIV</t>
  </si>
  <si>
    <t>Entire pivot sheet</t>
  </si>
  <si>
    <t>Active model aggregates raw EPA_SAF directly</t>
  </si>
  <si>
    <t>Manual QA / exploration</t>
  </si>
  <si>
    <t>Archive or delete after validation</t>
  </si>
  <si>
    <t>SAF Supply EPA actual formula</t>
  </si>
  <si>
    <t>FAA Forecast</t>
  </si>
  <si>
    <t>System Nominal Yield, CPI Index, Real Yield Index</t>
  </si>
  <si>
    <t>Revenue no longer uses yield; revenue scales with business activity</t>
  </si>
  <si>
    <t>Research context on pricing</t>
  </si>
  <si>
    <t>Move to supporting / context section</t>
  </si>
  <si>
    <t>FAA Activity Index</t>
  </si>
  <si>
    <t>Carbon Markets</t>
  </si>
  <si>
    <t>Broad voluntary prices, BBB+ prices, CORSIA midpoint, Puro observed pricing/volume</t>
  </si>
  <si>
    <t>Active model intentionally uses one carbon planning price</t>
  </si>
  <si>
    <t>Assumptions / policy discussion</t>
  </si>
  <si>
    <t>Keep as assumptions-only sheet</t>
  </si>
  <si>
    <t>Inputs Carbon Planning Price</t>
  </si>
  <si>
    <t>Data Map</t>
  </si>
  <si>
    <t>Entire sheet</t>
  </si>
  <si>
    <t>Documentation only</t>
  </si>
  <si>
    <t>Source governance</t>
  </si>
  <si>
    <t>Keep</t>
  </si>
  <si>
    <t>N/A</t>
  </si>
  <si>
    <t>Decisions</t>
  </si>
  <si>
    <t>Model governance / handoff</t>
  </si>
  <si>
    <t>SAF Supply</t>
  </si>
  <si>
    <t>DOE announced capacity reference column</t>
  </si>
  <si>
    <t>Shown as upper reference, not a production constraint</t>
  </si>
  <si>
    <t>Supply-risk context</t>
  </si>
  <si>
    <t>Keep visibly labeled reference</t>
  </si>
  <si>
    <t>Selected Base / Conservative production</t>
  </si>
  <si>
    <t>Notes / source URLs</t>
  </si>
  <si>
    <t>Auditability</t>
  </si>
  <si>
    <t>Streamlit Port — Custom Alaska Decarbonization Model</t>
  </si>
  <si>
    <t>Layer</t>
  </si>
  <si>
    <t>Component</t>
  </si>
  <si>
    <t>Purpose</t>
  </si>
  <si>
    <t>Source of Truth</t>
  </si>
  <si>
    <t>User Editable?</t>
  </si>
  <si>
    <t>Proposed App Surface</t>
  </si>
  <si>
    <t>Validation</t>
  </si>
  <si>
    <t>Data</t>
  </si>
  <si>
    <t>Alaska company actuals</t>
  </si>
  <si>
    <t>Revenue, fuel, emissions, capex, commitments</t>
  </si>
  <si>
    <t>10-K / 10-Q / Impact Report</t>
  </si>
  <si>
    <t>No</t>
  </si>
  <si>
    <t>Hidden data layer</t>
  </si>
  <si>
    <t>Regression tests vs workbook</t>
  </si>
  <si>
    <t>Keep raw source and normalized annual table</t>
  </si>
  <si>
    <t>2025–2040 system ASM activity index</t>
  </si>
  <si>
    <t>Compare annual indices to workbook</t>
  </si>
  <si>
    <t>Only activity index used in core app</t>
  </si>
  <si>
    <t>EIA efficiency + jet price</t>
  </si>
  <si>
    <t>Aircraft efficiency index and conventional-fuel price index</t>
  </si>
  <si>
    <t>Raw levels remain source audit</t>
  </si>
  <si>
    <t>EPA SAF actuals</t>
  </si>
  <si>
    <t>Historical renewable-jet gallons</t>
  </si>
  <si>
    <t>Historical chart / context</t>
  </si>
  <si>
    <t>Annual totals reproduce workbook</t>
  </si>
  <si>
    <t>Do not fit CAGR</t>
  </si>
  <si>
    <t>SAF forward supply</t>
  </si>
  <si>
    <t>Base and conservative annual paths</t>
  </si>
  <si>
    <t>Partly</t>
  </si>
  <si>
    <t>Scenario chart</t>
  </si>
  <si>
    <t>Monotonic-path test</t>
  </si>
  <si>
    <t>Base and conservative must never decline unless user explicitly allows decline</t>
  </si>
  <si>
    <t>Model</t>
  </si>
  <si>
    <t>2030 target engine</t>
  </si>
  <si>
    <t>Compute modeled intensity and 10–14% target attainment</t>
  </si>
  <si>
    <t>Pure Python model core</t>
  </si>
  <si>
    <t>Yes via scenario inputs</t>
  </si>
  <si>
    <t>Outcome card + target-band chart</t>
  </si>
  <si>
    <t>Workbook parity</t>
  </si>
  <si>
    <t>Primary environmental outcome #1</t>
  </si>
  <si>
    <t>2040 physical engine</t>
  </si>
  <si>
    <t>Compute physical residual emissions after SAF / efficiency / fleet / propulsion</t>
  </si>
  <si>
    <t>Waterfall / residual card</t>
  </si>
  <si>
    <t>Do not call physical residual 'net zero' until closure applied</t>
  </si>
  <si>
    <t>2040 closure engine</t>
  </si>
  <si>
    <t>Price residual with carbon planning price</t>
  </si>
  <si>
    <t>Yes</t>
  </si>
  <si>
    <t>Closure cost card</t>
  </si>
  <si>
    <t>Residual × price</t>
  </si>
  <si>
    <t>Simple single-price design</t>
  </si>
  <si>
    <t>Finance</t>
  </si>
  <si>
    <t>Revenue anchor</t>
  </si>
  <si>
    <t>Normalize major burdens to projected revenue</t>
  </si>
  <si>
    <t>2025 revenue × FAA activity index</t>
  </si>
  <si>
    <t>No beyond activity adj.</t>
  </si>
  <si>
    <t>Cost burden bars</t>
  </si>
  <si>
    <t>User-facing financial denominator</t>
  </si>
  <si>
    <t>Investable cash pool</t>
  </si>
  <si>
    <t>Budget available for decarbonization</t>
  </si>
  <si>
    <t>Proposed: projected revenue × investable-cash share</t>
  </si>
  <si>
    <t>YES — new input</t>
  </si>
  <si>
    <t>2040 financial-feasibility gauge</t>
  </si>
  <si>
    <t>Budget identity tests</t>
  </si>
  <si>
    <t>Needs explicit definition before production app</t>
  </si>
  <si>
    <t>Outcome</t>
  </si>
  <si>
    <t>2030 success</t>
  </si>
  <si>
    <t>Modeled reduction lands in Alaska 10–14% band</t>
  </si>
  <si>
    <t>Model output</t>
  </si>
  <si>
    <t>Band / marker chart</t>
  </si>
  <si>
    <t>Green if 10–14%+, red below 10%</t>
  </si>
  <si>
    <t>Could distinguish within-range vs exceeds high end</t>
  </si>
  <si>
    <t>2040 physical success</t>
  </si>
  <si>
    <t>Residual emissions before closure</t>
  </si>
  <si>
    <t>Residual waterfall</t>
  </si>
  <si>
    <t>Lower is better</t>
  </si>
  <si>
    <t>Physical levers do not have to reach zero if closure is allowed</t>
  </si>
  <si>
    <t>2040 financial success</t>
  </si>
  <si>
    <t>Can remaining investable cash cover carbon closure?</t>
  </si>
  <si>
    <t>Model + investable-cash budget</t>
  </si>
  <si>
    <t>Gauge / traffic-light</t>
  </si>
  <si>
    <t>Coverage ratio &gt;= 1.0</t>
  </si>
  <si>
    <t>Primary 2040 financial outcome</t>
  </si>
  <si>
    <t>Cash headroom after net zero</t>
  </si>
  <si>
    <t>Share of investable cash remaining after modeled decarb + closure</t>
  </si>
  <si>
    <t>Headline KPI</t>
  </si>
  <si>
    <t>&gt;=0% feasible</t>
  </si>
  <si>
    <t>Proposed formula below</t>
  </si>
  <si>
    <t>Proposed 2040 financial-success metric</t>
  </si>
  <si>
    <t>Investable Cash Pool</t>
  </si>
  <si>
    <t>Projected Revenue × Investable Cash % of Revenue</t>
  </si>
  <si>
    <t>Annual capital pool available for decarbonization</t>
  </si>
  <si>
    <t>PROPOSED — not active</t>
  </si>
  <si>
    <t>Modeled Physical-Decarb Spend</t>
  </si>
  <si>
    <t>Net SAF Premium + Catalytic Capital + incremental modeled decarb capex</t>
  </si>
  <si>
    <t>Cash consumed before carbon closure</t>
  </si>
  <si>
    <t>PARTIAL — fleet/ground/propulsion incremental cost not yet modeled</t>
  </si>
  <si>
    <t>Cash Available for Closure</t>
  </si>
  <si>
    <t>MAX(0, Investable Cash Pool − Physical-Decarb Spend)</t>
  </si>
  <si>
    <t>Budget remaining for offsets/removals</t>
  </si>
  <si>
    <t>PROPOSED</t>
  </si>
  <si>
    <t>Carbon Closure Coverage</t>
  </si>
  <si>
    <t>Cash Available for Closure / Carbon Closure Cost</t>
  </si>
  <si>
    <t>&gt;=1.0x means modeled closure can be funded</t>
  </si>
  <si>
    <t>Investable Cash Remaining %</t>
  </si>
  <si>
    <t>(Investable Cash Pool − Physical-Decarb Spend − Carbon Closure Cost) / Investable Cash Pool</t>
  </si>
  <si>
    <t>&gt;=0% means net-zero closure is financially feasible inside budget</t>
  </si>
  <si>
    <t>PROPOSED KEY KPI</t>
  </si>
  <si>
    <t>Recommended repo path</t>
  </si>
  <si>
    <t>Role</t>
  </si>
  <si>
    <t>Rule</t>
  </si>
  <si>
    <t>Example</t>
  </si>
  <si>
    <t>data/raw/</t>
  </si>
  <si>
    <t>Immutable source extracts</t>
  </si>
  <si>
    <t>No app logic here</t>
  </si>
  <si>
    <t>EPA / FAA / EIA / Alaska source files</t>
  </si>
  <si>
    <t>data/processed/</t>
  </si>
  <si>
    <t>Small annual model-ready tables</t>
  </si>
  <si>
    <t>Deterministic rebuild from raw</t>
  </si>
  <si>
    <t>airline_activity.csv, saf_supply.csv</t>
  </si>
  <si>
    <t>config/assumptions.yaml</t>
  </si>
  <si>
    <t>Defaults, bounds, labels, citations</t>
  </si>
  <si>
    <t>No formulas hidden in UI</t>
  </si>
  <si>
    <t>SAF premium, carbon price, slider bounds</t>
  </si>
  <si>
    <t>src/model/core.py</t>
  </si>
  <si>
    <t>Pure deterministic model</t>
  </si>
  <si>
    <t>No Streamlit imports</t>
  </si>
  <si>
    <t>run_scenario(inputs, data) -&gt; outputs</t>
  </si>
  <si>
    <t>src/model/emissions.py</t>
  </si>
  <si>
    <t>GHG/intensity equations</t>
  </si>
  <si>
    <t>Unit-tested</t>
  </si>
  <si>
    <t>2030 target + 2040 residual</t>
  </si>
  <si>
    <t>src/model/finance.py</t>
  </si>
  <si>
    <t>Revenue/cost/headroom equations</t>
  </si>
  <si>
    <t>revenue burden + investable cash</t>
  </si>
  <si>
    <t>src/model/saf.py</t>
  </si>
  <si>
    <t>Supply, market capture, catalytic capital</t>
  </si>
  <si>
    <t>Monotonic scenario tests</t>
  </si>
  <si>
    <t>base/conservative supply</t>
  </si>
  <si>
    <t>src/model/targets.py</t>
  </si>
  <si>
    <t>2030/2040 success classification</t>
  </si>
  <si>
    <t>Single source of target logic</t>
  </si>
  <si>
    <t>10–14% band; 2040 coverage</t>
  </si>
  <si>
    <t>app.py</t>
  </si>
  <si>
    <t>Streamlit presentation only</t>
  </si>
  <si>
    <t>No business logic</t>
  </si>
  <si>
    <t>sliders, charts, explanation</t>
  </si>
  <si>
    <t>tests/</t>
  </si>
  <si>
    <t>Regression and sensitivity tests</t>
  </si>
  <si>
    <t>Workbook baseline as golden case</t>
  </si>
  <si>
    <t>2030 14% target, SAF toggle, carbon-price toggle</t>
  </si>
  <si>
    <t>docs/</t>
  </si>
  <si>
    <t>Decisions, sources, model boundary</t>
  </si>
  <si>
    <t>Version controlled</t>
  </si>
  <si>
    <t>model_decisions.md, sources.md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</si>
</sst>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\$#,##0;[Red]\(\$#,##0\);\-"/>
    <numFmt numFmtId="168" formatCode="\$0.00"/>
    <numFmt numFmtId="169" formatCode="0.000"/>
    <numFmt numFmtId="170" formatCode="#,##0;[Red]\(#,##0\);\-"/>
    <numFmt numFmtId="171" formatCode="0.0"/>
    <numFmt numFmtId="172" formatCode="\$#,##0"/>
    <numFmt numFmtId="173" formatCode="\€0.00"/>
  </numFmts>
  <fonts count="15" x14ac:knownFonts="1">
    <font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sz val="12"/>
      <color rgb="FF000000"/>
      <name val="Garamond"/>
      <family val="1"/>
    </font>
    <font>
      <sz val="12"/>
      <color theme="10"/>
      <name val="Aptos Narrow"/>
    </font>
    <font>
      <sz val="10"/>
      <color theme="1"/>
      <name val="Arial Unicode MS"/>
      <family val="2"/>
    </font>
    <font>
      <b/>
      <sz val="15"/>
      <color rgb="FFFFFFFF"/>
      <name val="Aptos Narrow"/>
    </font>
    <font>
      <b/>
      <sz val="12"/>
      <color rgb="FFFFFFFF"/>
      <name val="Aptos Narrow"/>
    </font>
    <font>
      <sz val="12"/>
      <color rgb="FF0000FF"/>
      <name val="Aptos Narrow"/>
    </font>
    <font>
      <sz val="12"/>
      <color rgb="FF000000"/>
      <name val="Aptos Narrow"/>
    </font>
    <font>
      <b/>
      <sz val="18"/>
      <color rgb="FFFFFFFF"/>
      <name val="Aptos Narrow"/>
    </font>
    <font>
      <i/>
      <sz val="12"/>
      <color theme="1"/>
      <name val="Aptos Narrow"/>
    </font>
    <font>
      <b/>
      <i/>
      <sz val="12"/>
      <color rgb="FFFFFFFF"/>
      <name val="Aptos Narrow"/>
    </font>
    <font>
      <b/>
      <sz val="12"/>
      <color rgb="FF0000FF"/>
      <name val="Aptos Narrow"/>
    </font>
    <font>
      <b/>
      <i/>
      <sz val="12"/>
      <color theme="1"/>
      <name val="Aptos Narrow"/>
    </font>
  </fonts>
  <fills count="1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17365D"/>
      </patternFill>
    </fill>
    <fill>
      <patternFill patternType="solid">
        <fgColor rgb="FF1F2937"/>
      </patternFill>
    </fill>
    <fill>
      <patternFill patternType="solid">
        <fgColor rgb="FFF3F6F9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1F2937"/>
      </patternFill>
    </fill>
    <fill>
      <patternFill patternType="solid">
        <fgColor rgb="FF17365D"/>
      </patternFill>
    </fill>
    <fill>
      <patternFill patternType="solid">
        <fgColor rgb="FF1F2937"/>
      </patternFill>
    </fill>
    <fill>
      <patternFill patternType="solid">
        <fgColor rgb="FFFFF2CC"/>
      </patternFill>
    </fill>
    <fill>
      <patternFill patternType="solid">
        <fgColor rgb="FFF3F6F9"/>
      </patternFill>
    </fill>
    <fill>
      <patternFill patternType="solid">
        <fgColor rgb="FF1F2937"/>
      </patternFill>
    </fill>
    <fill>
      <patternFill patternType="solid">
        <fgColor rgb="FFF3F6F9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5">
    <xf numFmtId="0" fontId="0" fillId="0" borderId="0" xfId="0"/>
    <xf numFmtId="0" fontId="3" fillId="0" borderId="0" xfId="0" applyFont="1"/>
    <xf numFmtId="0" fontId="4" fillId="0" borderId="0" xfId="4"/>
    <xf numFmtId="0" fontId="0" fillId="0" borderId="0" xfId="0" applyAlignment="1">
      <alignment wrapText="1"/>
    </xf>
    <xf numFmtId="9" fontId="0" fillId="0" borderId="0" xfId="0" applyNumberFormat="1"/>
    <xf numFmtId="0" fontId="2" fillId="0" borderId="0" xfId="0" applyFont="1"/>
    <xf numFmtId="0" fontId="0" fillId="2" borderId="0" xfId="0" applyFill="1"/>
    <xf numFmtId="8" fontId="0" fillId="2" borderId="0" xfId="0" applyNumberFormat="1" applyFill="1"/>
    <xf numFmtId="10" fontId="0" fillId="2" borderId="0" xfId="0" applyNumberFormat="1" applyFill="1"/>
    <xf numFmtId="3" fontId="0" fillId="2" borderId="0" xfId="0" applyNumberFormat="1" applyFill="1"/>
    <xf numFmtId="9" fontId="0" fillId="0" borderId="0" xfId="3" applyFont="1"/>
    <xf numFmtId="10" fontId="0" fillId="0" borderId="0" xfId="3" applyNumberFormat="1" applyFont="1"/>
    <xf numFmtId="44" fontId="0" fillId="2" borderId="0" xfId="2" applyFont="1" applyFill="1"/>
    <xf numFmtId="6" fontId="0" fillId="2" borderId="0" xfId="0" applyNumberFormat="1" applyFill="1"/>
    <xf numFmtId="3" fontId="0" fillId="0" borderId="0" xfId="0" applyNumberFormat="1"/>
    <xf numFmtId="164" fontId="0" fillId="0" borderId="0" xfId="1" applyNumberFormat="1" applyFont="1"/>
    <xf numFmtId="44" fontId="0" fillId="0" borderId="0" xfId="2" applyFont="1"/>
    <xf numFmtId="165" fontId="0" fillId="0" borderId="0" xfId="2" applyNumberFormat="1" applyFont="1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0" applyNumberFormat="1"/>
    <xf numFmtId="164" fontId="0" fillId="0" borderId="0" xfId="0" applyNumberFormat="1"/>
    <xf numFmtId="10" fontId="0" fillId="0" borderId="0" xfId="0" applyNumberFormat="1" applyAlignment="1">
      <alignment wrapText="1"/>
    </xf>
    <xf numFmtId="0" fontId="7" fillId="4" borderId="1" xfId="0" applyFont="1" applyFill="1" applyBorder="1" applyAlignment="1">
      <alignment wrapText="1"/>
    </xf>
    <xf numFmtId="166" fontId="9" fillId="5" borderId="0" xfId="0" applyNumberFormat="1" applyFont="1" applyFill="1" applyAlignment="1">
      <alignment wrapText="1"/>
    </xf>
    <xf numFmtId="1" fontId="9" fillId="5" borderId="0" xfId="0" applyNumberFormat="1" applyFont="1" applyFill="1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9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7" fillId="3" borderId="0" xfId="0" applyFont="1" applyFill="1" applyAlignment="1">
      <alignment wrapText="1"/>
    </xf>
    <xf numFmtId="167" fontId="0" fillId="0" borderId="0" xfId="0" applyNumberFormat="1"/>
    <xf numFmtId="1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7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 applyAlignment="1">
      <alignment wrapText="1"/>
    </xf>
    <xf numFmtId="166" fontId="0" fillId="5" borderId="0" xfId="0" applyNumberFormat="1" applyFill="1" applyAlignment="1">
      <alignment wrapText="1"/>
    </xf>
    <xf numFmtId="169" fontId="0" fillId="5" borderId="0" xfId="0" applyNumberFormat="1" applyFill="1" applyAlignment="1">
      <alignment wrapText="1"/>
    </xf>
    <xf numFmtId="3" fontId="0" fillId="5" borderId="0" xfId="0" applyNumberFormat="1" applyFill="1" applyAlignment="1">
      <alignment wrapText="1"/>
    </xf>
    <xf numFmtId="0" fontId="11" fillId="5" borderId="0" xfId="0" applyFont="1" applyFill="1" applyAlignment="1">
      <alignment wrapText="1"/>
    </xf>
    <xf numFmtId="167" fontId="11" fillId="5" borderId="0" xfId="0" applyNumberFormat="1" applyFont="1" applyFill="1" applyAlignment="1">
      <alignment wrapText="1"/>
    </xf>
    <xf numFmtId="171" fontId="0" fillId="0" borderId="0" xfId="0" applyNumberFormat="1"/>
    <xf numFmtId="166" fontId="7" fillId="4" borderId="0" xfId="0" applyNumberFormat="1" applyFont="1" applyFill="1" applyAlignment="1">
      <alignment wrapText="1"/>
    </xf>
    <xf numFmtId="166" fontId="2" fillId="6" borderId="0" xfId="0" applyNumberFormat="1" applyFont="1" applyFill="1" applyAlignment="1">
      <alignment wrapText="1"/>
    </xf>
    <xf numFmtId="172" fontId="0" fillId="5" borderId="0" xfId="0" applyNumberFormat="1" applyFill="1" applyAlignment="1">
      <alignment wrapText="1"/>
    </xf>
    <xf numFmtId="172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7" fillId="8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173" fontId="0" fillId="0" borderId="0" xfId="0" applyNumberFormat="1" applyAlignment="1">
      <alignment wrapText="1"/>
    </xf>
    <xf numFmtId="0" fontId="14" fillId="5" borderId="0" xfId="0" applyFont="1" applyFill="1" applyAlignment="1">
      <alignment horizontal="center" wrapText="1"/>
    </xf>
    <xf numFmtId="166" fontId="14" fillId="5" borderId="0" xfId="0" applyNumberFormat="1" applyFont="1" applyFill="1" applyAlignment="1">
      <alignment horizontal="center" wrapText="1"/>
    </xf>
    <xf numFmtId="3" fontId="14" fillId="5" borderId="0" xfId="0" applyNumberFormat="1" applyFont="1" applyFill="1" applyAlignment="1">
      <alignment horizontal="center" wrapText="1"/>
    </xf>
    <xf numFmtId="172" fontId="14" fillId="5" borderId="0" xfId="0" applyNumberFormat="1" applyFont="1" applyFill="1" applyAlignment="1">
      <alignment horizontal="center" wrapText="1"/>
    </xf>
    <xf numFmtId="171" fontId="0" fillId="0" borderId="0" xfId="0" applyNumberFormat="1" applyAlignment="1">
      <alignment wrapText="1"/>
    </xf>
    <xf numFmtId="168" fontId="9" fillId="5" borderId="0" xfId="0" applyNumberFormat="1" applyFont="1" applyFill="1" applyAlignment="1">
      <alignment wrapText="1"/>
    </xf>
    <xf numFmtId="3" fontId="9" fillId="5" borderId="0" xfId="0" applyNumberFormat="1" applyFont="1" applyFill="1" applyAlignment="1">
      <alignment wrapText="1"/>
    </xf>
    <xf numFmtId="0" fontId="7" fillId="10" borderId="1" xfId="0" applyFont="1" applyFill="1" applyBorder="1" applyAlignment="1">
      <alignment wrapText="1"/>
    </xf>
    <xf numFmtId="9" fontId="7" fillId="10" borderId="1" xfId="0" applyNumberFormat="1" applyFont="1" applyFill="1" applyBorder="1" applyAlignment="1">
      <alignment wrapText="1"/>
    </xf>
    <xf numFmtId="166" fontId="8" fillId="11" borderId="0" xfId="0" applyNumberFormat="1" applyFont="1" applyFill="1" applyAlignment="1">
      <alignment horizontal="right" wrapText="1"/>
    </xf>
    <xf numFmtId="167" fontId="8" fillId="11" borderId="0" xfId="0" applyNumberFormat="1" applyFont="1" applyFill="1" applyAlignment="1">
      <alignment wrapText="1"/>
    </xf>
    <xf numFmtId="166" fontId="8" fillId="11" borderId="0" xfId="0" applyNumberFormat="1" applyFont="1" applyFill="1" applyAlignment="1">
      <alignment wrapText="1"/>
    </xf>
    <xf numFmtId="0" fontId="13" fillId="11" borderId="1" xfId="0" applyFont="1" applyFill="1" applyBorder="1" applyAlignment="1">
      <alignment wrapText="1"/>
    </xf>
    <xf numFmtId="0" fontId="7" fillId="10" borderId="0" xfId="0" applyFont="1" applyFill="1" applyAlignment="1">
      <alignment wrapText="1"/>
    </xf>
    <xf numFmtId="1" fontId="7" fillId="10" borderId="0" xfId="0" applyNumberFormat="1" applyFont="1" applyFill="1" applyAlignment="1">
      <alignment wrapText="1"/>
    </xf>
    <xf numFmtId="166" fontId="9" fillId="12" borderId="0" xfId="0" applyNumberFormat="1" applyFont="1" applyFill="1" applyAlignment="1">
      <alignment wrapText="1"/>
    </xf>
    <xf numFmtId="1" fontId="9" fillId="12" borderId="0" xfId="0" applyNumberFormat="1" applyFont="1" applyFill="1" applyAlignment="1">
      <alignment wrapText="1"/>
    </xf>
    <xf numFmtId="168" fontId="9" fillId="12" borderId="0" xfId="0" applyNumberFormat="1" applyFont="1" applyFill="1" applyAlignment="1">
      <alignment wrapText="1"/>
    </xf>
    <xf numFmtId="3" fontId="9" fillId="12" borderId="0" xfId="0" applyNumberFormat="1" applyFont="1" applyFill="1" applyAlignment="1">
      <alignment wrapText="1"/>
    </xf>
    <xf numFmtId="0" fontId="7" fillId="9" borderId="0" xfId="0" applyFont="1" applyFill="1" applyAlignment="1">
      <alignment vertical="center" wrapText="1"/>
    </xf>
    <xf numFmtId="0" fontId="7" fillId="9" borderId="0" xfId="0" applyFont="1" applyFill="1" applyAlignment="1">
      <alignment wrapText="1"/>
    </xf>
    <xf numFmtId="0" fontId="6" fillId="9" borderId="0" xfId="0" applyFont="1" applyFill="1" applyAlignment="1">
      <alignment wrapText="1"/>
    </xf>
    <xf numFmtId="166" fontId="7" fillId="10" borderId="0" xfId="0" applyNumberFormat="1" applyFont="1" applyFill="1" applyAlignment="1">
      <alignment wrapText="1"/>
    </xf>
    <xf numFmtId="169" fontId="7" fillId="4" borderId="0" xfId="0" applyNumberFormat="1" applyFont="1" applyFill="1" applyAlignment="1">
      <alignment wrapText="1"/>
    </xf>
    <xf numFmtId="9" fontId="0" fillId="0" borderId="0" xfId="0" applyNumberFormat="1" applyAlignment="1">
      <alignment wrapText="1"/>
    </xf>
    <xf numFmtId="166" fontId="2" fillId="12" borderId="0" xfId="0" applyNumberFormat="1" applyFont="1" applyFill="1" applyAlignment="1">
      <alignment horizontal="center" vertical="center" wrapText="1"/>
    </xf>
    <xf numFmtId="3" fontId="2" fillId="12" borderId="0" xfId="0" applyNumberFormat="1" applyFont="1" applyFill="1" applyAlignment="1">
      <alignment horizontal="center" vertical="center" wrapText="1"/>
    </xf>
    <xf numFmtId="172" fontId="2" fillId="12" borderId="0" xfId="0" applyNumberFormat="1" applyFont="1" applyFill="1" applyAlignment="1">
      <alignment horizontal="center" vertical="center" wrapText="1"/>
    </xf>
    <xf numFmtId="169" fontId="2" fillId="12" borderId="0" xfId="0" applyNumberFormat="1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wrapText="1"/>
    </xf>
    <xf numFmtId="0" fontId="11" fillId="12" borderId="0" xfId="0" applyFont="1" applyFill="1" applyAlignment="1">
      <alignment wrapText="1"/>
    </xf>
    <xf numFmtId="166" fontId="2" fillId="14" borderId="0" xfId="0" applyNumberFormat="1" applyFont="1" applyFill="1" applyAlignment="1">
      <alignment horizontal="center" vertical="center" wrapText="1"/>
    </xf>
    <xf numFmtId="166" fontId="14" fillId="14" borderId="0" xfId="0" applyNumberFormat="1" applyFont="1" applyFill="1" applyAlignment="1">
      <alignment horizontal="center" wrapText="1"/>
    </xf>
    <xf numFmtId="166" fontId="0" fillId="14" borderId="1" xfId="0" applyNumberFormat="1" applyFill="1" applyBorder="1" applyAlignment="1">
      <alignment wrapText="1"/>
    </xf>
    <xf numFmtId="0" fontId="14" fillId="14" borderId="0" xfId="0" applyFont="1" applyFill="1" applyAlignment="1">
      <alignment horizontal="center" wrapText="1"/>
    </xf>
    <xf numFmtId="0" fontId="2" fillId="14" borderId="1" xfId="0" applyFont="1" applyFill="1" applyBorder="1" applyAlignment="1">
      <alignment wrapText="1"/>
    </xf>
    <xf numFmtId="0" fontId="2" fillId="14" borderId="0" xfId="0" applyFont="1" applyFill="1" applyAlignment="1">
      <alignment wrapText="1"/>
    </xf>
    <xf numFmtId="3" fontId="11" fillId="14" borderId="0" xfId="0" applyNumberFormat="1" applyFont="1" applyFill="1" applyAlignment="1">
      <alignment horizontal="center" wrapText="1"/>
    </xf>
    <xf numFmtId="169" fontId="0" fillId="14" borderId="0" xfId="0" applyNumberFormat="1" applyFill="1" applyAlignment="1">
      <alignment wrapText="1"/>
    </xf>
    <xf numFmtId="166" fontId="0" fillId="14" borderId="0" xfId="0" applyNumberFormat="1" applyFill="1" applyAlignment="1">
      <alignment wrapText="1"/>
    </xf>
    <xf numFmtId="3" fontId="0" fillId="14" borderId="0" xfId="0" applyNumberFormat="1" applyFill="1" applyAlignment="1">
      <alignment wrapText="1"/>
    </xf>
    <xf numFmtId="172" fontId="2" fillId="14" borderId="0" xfId="0" applyNumberFormat="1" applyFont="1" applyFill="1" applyAlignment="1">
      <alignment horizontal="center" vertical="center" wrapText="1"/>
    </xf>
    <xf numFmtId="167" fontId="14" fillId="14" borderId="0" xfId="0" applyNumberFormat="1" applyFont="1" applyFill="1" applyAlignment="1">
      <alignment horizontal="center" wrapText="1"/>
    </xf>
    <xf numFmtId="167" fontId="11" fillId="14" borderId="0" xfId="0" applyNumberFormat="1" applyFont="1" applyFill="1" applyAlignment="1">
      <alignment horizontal="center" wrapText="1"/>
    </xf>
    <xf numFmtId="167" fontId="0" fillId="14" borderId="0" xfId="0" applyNumberFormat="1" applyFill="1" applyAlignment="1">
      <alignment wrapText="1"/>
    </xf>
    <xf numFmtId="170" fontId="0" fillId="14" borderId="0" xfId="0" applyNumberFormat="1" applyFill="1" applyAlignment="1">
      <alignment wrapText="1"/>
    </xf>
    <xf numFmtId="0" fontId="7" fillId="13" borderId="0" xfId="0" applyFont="1" applyFill="1" applyAlignment="1">
      <alignment wrapText="1"/>
    </xf>
    <xf numFmtId="0" fontId="6" fillId="9" borderId="0" xfId="0" applyFont="1" applyFill="1" applyAlignment="1">
      <alignment horizontal="left" vertical="center" wrapText="1"/>
    </xf>
    <xf numFmtId="10" fontId="6" fillId="9" borderId="0" xfId="0" applyNumberFormat="1" applyFont="1" applyFill="1" applyAlignment="1">
      <alignment horizontal="left" vertical="center" wrapText="1"/>
    </xf>
    <xf numFmtId="0" fontId="6" fillId="9" borderId="0" xfId="0" applyFont="1" applyFill="1" applyAlignment="1">
      <alignment wrapText="1"/>
    </xf>
    <xf numFmtId="0" fontId="10" fillId="9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wrapText="1"/>
    </xf>
    <xf numFmtId="0" fontId="12" fillId="4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167" fontId="11" fillId="5" borderId="0" xfId="0" applyNumberFormat="1" applyFont="1" applyFill="1" applyAlignment="1">
      <alignment wrapText="1"/>
    </xf>
    <xf numFmtId="0" fontId="7" fillId="13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0" fontId="6" fillId="15" borderId="0" xfId="0" applyFont="1" applyFill="1" applyAlignment="1">
      <alignment wrapText="1"/>
    </xf>
  </cellXfs>
  <cellStyles count="5">
    <cellStyle name="Comma" xfId="1" xr:uid="{00000000-0005-0000-0000-000000000000}"/>
    <cellStyle name="Currency" xfId="2" xr:uid="{00000000-0005-0000-0000-000001000000}"/>
    <cellStyle name="Hyperlink" xfId="4" xr:uid="{00000000-0005-0000-0000-000002000000}"/>
    <cellStyle name="Normal" xfId="0" builtinId="0"/>
    <cellStyle name="Percent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GHG Intensity Path vs. Alaska Targets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GHG Intensity</c:v>
          </c:tx>
          <c:marker>
            <c:symbol val="none"/>
          </c:marker>
          <c:cat>
            <c:numRef>
              <c:f>Dashboard!$P$3:$P$18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Dashboard!$Q$3:$Q$18</c:f>
              <c:numCache>
                <c:formatCode>0.0</c:formatCode>
                <c:ptCount val="16"/>
                <c:pt idx="0">
                  <c:v>1.33</c:v>
                </c:pt>
                <c:pt idx="1">
                  <c:v>1.3003694167969202</c:v>
                </c:pt>
                <c:pt idx="2">
                  <c:v>1.2711037893833141</c:v>
                </c:pt>
                <c:pt idx="3" formatCode="General">
                  <c:v>1.2420646725984295</c:v>
                </c:pt>
                <c:pt idx="4" formatCode="General">
                  <c:v>1.21380176733843</c:v>
                </c:pt>
                <c:pt idx="5" formatCode="General">
                  <c:v>1.1858307984939795</c:v>
                </c:pt>
                <c:pt idx="6" formatCode="General">
                  <c:v>1.1254324613748929</c:v>
                </c:pt>
                <c:pt idx="7" formatCode="General">
                  <c:v>1.0653608269934303</c:v>
                </c:pt>
                <c:pt idx="8" formatCode="General">
                  <c:v>1.0061858530015373</c:v>
                </c:pt>
                <c:pt idx="9" formatCode="General">
                  <c:v>0.94800968264649832</c:v>
                </c:pt>
                <c:pt idx="10" formatCode="General">
                  <c:v>0.89076594374372753</c:v>
                </c:pt>
                <c:pt idx="11" formatCode="General">
                  <c:v>0.83444102515220164</c:v>
                </c:pt>
                <c:pt idx="12" formatCode="General">
                  <c:v>0.77905983698550541</c:v>
                </c:pt>
                <c:pt idx="13" formatCode="General">
                  <c:v>0.72441962674738969</c:v>
                </c:pt>
                <c:pt idx="14" formatCode="General">
                  <c:v>0.67073083310956794</c:v>
                </c:pt>
                <c:pt idx="15" formatCode="General">
                  <c:v>0.61778289393793817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F2-5A48-A4C4-13A806260B9F}"/>
            </c:ext>
          </c:extLst>
        </c:ser>
        <c:ser>
          <c:idx val="1"/>
          <c:order val="1"/>
          <c:tx>
            <c:v>2030 10%</c:v>
          </c:tx>
          <c:marker>
            <c:symbol val="none"/>
          </c:marker>
          <c:cat>
            <c:numRef>
              <c:f>Dashboard!$P$3:$P$18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Dashboard!$R$3:$R$18</c:f>
              <c:numCache>
                <c:formatCode>General</c:formatCode>
                <c:ptCount val="16"/>
                <c:pt idx="0">
                  <c:v>1.2509999999999999</c:v>
                </c:pt>
                <c:pt idx="1">
                  <c:v>1.2509999999999999</c:v>
                </c:pt>
                <c:pt idx="2">
                  <c:v>1.2509999999999999</c:v>
                </c:pt>
                <c:pt idx="3">
                  <c:v>1.2509999999999999</c:v>
                </c:pt>
                <c:pt idx="4">
                  <c:v>1.2509999999999999</c:v>
                </c:pt>
                <c:pt idx="5">
                  <c:v>1.2509999999999999</c:v>
                </c:pt>
                <c:pt idx="6">
                  <c:v>1.2509999999999999</c:v>
                </c:pt>
                <c:pt idx="7">
                  <c:v>1.2509999999999999</c:v>
                </c:pt>
                <c:pt idx="8">
                  <c:v>1.2509999999999999</c:v>
                </c:pt>
                <c:pt idx="9">
                  <c:v>1.2509999999999999</c:v>
                </c:pt>
                <c:pt idx="10">
                  <c:v>1.2509999999999999</c:v>
                </c:pt>
                <c:pt idx="11">
                  <c:v>1.2509999999999999</c:v>
                </c:pt>
                <c:pt idx="12">
                  <c:v>1.2509999999999999</c:v>
                </c:pt>
                <c:pt idx="13">
                  <c:v>1.2509999999999999</c:v>
                </c:pt>
                <c:pt idx="14">
                  <c:v>1.2509999999999999</c:v>
                </c:pt>
                <c:pt idx="15">
                  <c:v>1.2509999999999999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F2-5A48-A4C4-13A806260B9F}"/>
            </c:ext>
          </c:extLst>
        </c:ser>
        <c:ser>
          <c:idx val="2"/>
          <c:order val="2"/>
          <c:tx>
            <c:v>2030 14%</c:v>
          </c:tx>
          <c:marker>
            <c:symbol val="none"/>
          </c:marker>
          <c:cat>
            <c:numRef>
              <c:f>Dashboard!$P$3:$P$18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Dashboard!$S$3:$S$18</c:f>
              <c:numCache>
                <c:formatCode>General</c:formatCode>
                <c:ptCount val="16"/>
                <c:pt idx="0">
                  <c:v>1.1953999999999998</c:v>
                </c:pt>
                <c:pt idx="1">
                  <c:v>1.1953999999999998</c:v>
                </c:pt>
                <c:pt idx="2">
                  <c:v>1.1953999999999998</c:v>
                </c:pt>
                <c:pt idx="3">
                  <c:v>1.1953999999999998</c:v>
                </c:pt>
                <c:pt idx="4">
                  <c:v>1.1953999999999998</c:v>
                </c:pt>
                <c:pt idx="5">
                  <c:v>1.1953999999999998</c:v>
                </c:pt>
                <c:pt idx="6">
                  <c:v>1.1953999999999998</c:v>
                </c:pt>
                <c:pt idx="7">
                  <c:v>1.1953999999999998</c:v>
                </c:pt>
                <c:pt idx="8">
                  <c:v>1.1953999999999998</c:v>
                </c:pt>
                <c:pt idx="9">
                  <c:v>1.1953999999999998</c:v>
                </c:pt>
                <c:pt idx="10">
                  <c:v>1.1953999999999998</c:v>
                </c:pt>
                <c:pt idx="11">
                  <c:v>1.1953999999999998</c:v>
                </c:pt>
                <c:pt idx="12">
                  <c:v>1.1953999999999998</c:v>
                </c:pt>
                <c:pt idx="13">
                  <c:v>1.1953999999999998</c:v>
                </c:pt>
                <c:pt idx="14">
                  <c:v>1.1953999999999998</c:v>
                </c:pt>
                <c:pt idx="15">
                  <c:v>1.1953999999999998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CF2-5A48-A4C4-13A806260B9F}"/>
            </c:ext>
          </c:extLst>
        </c:ser>
        <c:ser>
          <c:idx val="3"/>
          <c:order val="3"/>
          <c:tx>
            <c:v>Net Zero</c:v>
          </c:tx>
          <c:marker>
            <c:symbol val="none"/>
          </c:marker>
          <c:cat>
            <c:numRef>
              <c:f>Dashboard!$P$3:$P$18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Dashboard!$T$3:$T$18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CF2-5A48-A4C4-13A806260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U.S. SAF Supply Scenarios vs. Alaska Target Demand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Base SAF Supply</c:v>
          </c:tx>
          <c:marker>
            <c:symbol val="none"/>
          </c:marker>
          <c:cat>
            <c:numRef>
              <c:f>Dashboard!$V$3:$V$18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Dashboard!$W$3:$W$18</c:f>
              <c:numCache>
                <c:formatCode>General</c:formatCode>
                <c:ptCount val="16"/>
                <c:pt idx="0">
                  <c:v>287728509</c:v>
                </c:pt>
                <c:pt idx="1">
                  <c:v>426082685.12217546</c:v>
                </c:pt>
                <c:pt idx="2">
                  <c:v>630964429.60027623</c:v>
                </c:pt>
                <c:pt idx="3">
                  <c:v>934363505.77504802</c:v>
                </c:pt>
                <c:pt idx="4">
                  <c:v>1383651946.0808864</c:v>
                </c:pt>
                <c:pt idx="5">
                  <c:v>2048980612</c:v>
                </c:pt>
                <c:pt idx="6">
                  <c:v>2198312504.9700179</c:v>
                </c:pt>
                <c:pt idx="7">
                  <c:v>2358527865.6153307</c:v>
                </c:pt>
                <c:pt idx="8">
                  <c:v>2530419892.6712089</c:v>
                </c:pt>
                <c:pt idx="9">
                  <c:v>2714839594.0429754</c:v>
                </c:pt>
                <c:pt idx="10">
                  <c:v>2912700000</c:v>
                </c:pt>
                <c:pt idx="11">
                  <c:v>3203970000.0000005</c:v>
                </c:pt>
                <c:pt idx="12">
                  <c:v>3524367000.0000005</c:v>
                </c:pt>
                <c:pt idx="13">
                  <c:v>3876803700.000001</c:v>
                </c:pt>
                <c:pt idx="14">
                  <c:v>4264484070.000001</c:v>
                </c:pt>
                <c:pt idx="15">
                  <c:v>4690932477.0000019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1F-F049-9E56-13A91DD1B571}"/>
            </c:ext>
          </c:extLst>
        </c:ser>
        <c:ser>
          <c:idx val="1"/>
          <c:order val="1"/>
          <c:tx>
            <c:v>Conservative SAF Supply</c:v>
          </c:tx>
          <c:marker>
            <c:symbol val="none"/>
          </c:marker>
          <c:cat>
            <c:numRef>
              <c:f>Dashboard!$V$3:$V$18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Dashboard!$X$3:$X$18</c:f>
              <c:numCache>
                <c:formatCode>General</c:formatCode>
                <c:ptCount val="16"/>
                <c:pt idx="0">
                  <c:v>287728509</c:v>
                </c:pt>
                <c:pt idx="1">
                  <c:v>343382445.84483087</c:v>
                </c:pt>
                <c:pt idx="2">
                  <c:v>409801255.09348887</c:v>
                </c:pt>
                <c:pt idx="3">
                  <c:v>489067134.06103134</c:v>
                </c:pt>
                <c:pt idx="4">
                  <c:v>583665029.43995285</c:v>
                </c:pt>
                <c:pt idx="5">
                  <c:v>696560539.16849184</c:v>
                </c:pt>
                <c:pt idx="6">
                  <c:v>831292882.48134935</c:v>
                </c:pt>
                <c:pt idx="7">
                  <c:v>992085852.70862138</c:v>
                </c:pt>
                <c:pt idx="8">
                  <c:v>1183980231.1391432</c:v>
                </c:pt>
                <c:pt idx="9">
                  <c:v>1412991813.0583553</c:v>
                </c:pt>
                <c:pt idx="10">
                  <c:v>1686300000</c:v>
                </c:pt>
                <c:pt idx="11">
                  <c:v>1854930000.0000002</c:v>
                </c:pt>
                <c:pt idx="12">
                  <c:v>2040423000.0000002</c:v>
                </c:pt>
                <c:pt idx="13">
                  <c:v>2244465300.0000005</c:v>
                </c:pt>
                <c:pt idx="14">
                  <c:v>2468911830.0000005</c:v>
                </c:pt>
                <c:pt idx="15">
                  <c:v>2715803013.000001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1F-F049-9E56-13A91DD1B571}"/>
            </c:ext>
          </c:extLst>
        </c:ser>
        <c:ser>
          <c:idx val="2"/>
          <c:order val="2"/>
          <c:tx>
            <c:v>Adjusted Selected Supply</c:v>
          </c:tx>
          <c:marker>
            <c:symbol val="none"/>
          </c:marker>
          <c:cat>
            <c:numRef>
              <c:f>Dashboard!$V$3:$V$18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Dashboard!$Y$3:$Y$18</c:f>
              <c:numCache>
                <c:formatCode>General</c:formatCode>
                <c:ptCount val="16"/>
                <c:pt idx="0">
                  <c:v>287728509</c:v>
                </c:pt>
                <c:pt idx="1">
                  <c:v>426082685.12217546</c:v>
                </c:pt>
                <c:pt idx="2">
                  <c:v>630964429.60027623</c:v>
                </c:pt>
                <c:pt idx="3">
                  <c:v>934363505.77504802</c:v>
                </c:pt>
                <c:pt idx="4">
                  <c:v>1383651946.0808864</c:v>
                </c:pt>
                <c:pt idx="5">
                  <c:v>2048980612</c:v>
                </c:pt>
                <c:pt idx="6">
                  <c:v>2198312504.9700179</c:v>
                </c:pt>
                <c:pt idx="7">
                  <c:v>2358527865.6153307</c:v>
                </c:pt>
                <c:pt idx="8">
                  <c:v>2530419892.6712089</c:v>
                </c:pt>
                <c:pt idx="9">
                  <c:v>2714839594.0429754</c:v>
                </c:pt>
                <c:pt idx="10">
                  <c:v>2912700000</c:v>
                </c:pt>
                <c:pt idx="11">
                  <c:v>3203970000.0000005</c:v>
                </c:pt>
                <c:pt idx="12">
                  <c:v>3524367000.0000005</c:v>
                </c:pt>
                <c:pt idx="13">
                  <c:v>3876803700.000001</c:v>
                </c:pt>
                <c:pt idx="14">
                  <c:v>4264484070.000001</c:v>
                </c:pt>
                <c:pt idx="15">
                  <c:v>4690932477.0000019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1F-F049-9E56-13A91DD1B571}"/>
            </c:ext>
          </c:extLst>
        </c:ser>
        <c:ser>
          <c:idx val="3"/>
          <c:order val="3"/>
          <c:tx>
            <c:v>Alaska Target SAF</c:v>
          </c:tx>
          <c:marker>
            <c:symbol val="none"/>
          </c:marker>
          <c:cat>
            <c:numRef>
              <c:f>Dashboard!$V$3:$V$18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Dashboard!$Z$3:$Z$18</c:f>
              <c:numCache>
                <c:formatCode>General</c:formatCode>
                <c:ptCount val="16"/>
                <c:pt idx="0">
                  <c:v>10891144</c:v>
                </c:pt>
                <c:pt idx="1">
                  <c:v>32077747.184913211</c:v>
                </c:pt>
                <c:pt idx="2">
                  <c:v>53952468.466339573</c:v>
                </c:pt>
                <c:pt idx="3">
                  <c:v>76502794.760871723</c:v>
                </c:pt>
                <c:pt idx="4">
                  <c:v>99781095.739008501</c:v>
                </c:pt>
                <c:pt idx="5">
                  <c:v>123779855.58662958</c:v>
                </c:pt>
                <c:pt idx="6">
                  <c:v>188614754.43595555</c:v>
                </c:pt>
                <c:pt idx="7">
                  <c:v>256422292.13006049</c:v>
                </c:pt>
                <c:pt idx="8">
                  <c:v>326811461.76991034</c:v>
                </c:pt>
                <c:pt idx="9">
                  <c:v>399898884.74419606</c:v>
                </c:pt>
                <c:pt idx="10">
                  <c:v>475761852.2313208</c:v>
                </c:pt>
                <c:pt idx="11">
                  <c:v>554495335.19184911</c:v>
                </c:pt>
                <c:pt idx="12">
                  <c:v>634399377.95360351</c:v>
                </c:pt>
                <c:pt idx="13">
                  <c:v>716764649.25164449</c:v>
                </c:pt>
                <c:pt idx="14">
                  <c:v>801860410.42507482</c:v>
                </c:pt>
                <c:pt idx="15">
                  <c:v>889544843.67778158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B1F-F049-9E56-13A91DD1B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2030 SAF Share (%) — Required, Target, Effective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</c:v>
          </c:tx>
          <c:invertIfNegative val="1"/>
          <c:cat>
            <c:strRef>
              <c:f>Dashboard!$AB$3:$AB$6</c:f>
              <c:strCache>
                <c:ptCount val="4"/>
                <c:pt idx="0">
                  <c:v>Required — 10%</c:v>
                </c:pt>
                <c:pt idx="1">
                  <c:v>Required — 14%</c:v>
                </c:pt>
                <c:pt idx="2">
                  <c:v>Target</c:v>
                </c:pt>
                <c:pt idx="3">
                  <c:v>Effective</c:v>
                </c:pt>
              </c:strCache>
            </c:strRef>
          </c:cat>
          <c:val>
            <c:numRef>
              <c:f>Dashboard!$AC$3:$AC$6</c:f>
              <c:numCache>
                <c:formatCode>General</c:formatCode>
                <c:ptCount val="4"/>
                <c:pt idx="0">
                  <c:v>3.6799936527956714</c:v>
                </c:pt>
                <c:pt idx="1">
                  <c:v>9.071993934893662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9-624C-8560-451D69A69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2030 Known Spending Burden (% of Revenue)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</c:v>
          </c:tx>
          <c:invertIfNegative val="1"/>
          <c:cat>
            <c:strRef>
              <c:f>Dashboard!$AE$3:$AE$5</c:f>
              <c:strCache>
                <c:ptCount val="3"/>
                <c:pt idx="0">
                  <c:v>Baseline aircraft capital</c:v>
                </c:pt>
                <c:pt idx="1">
                  <c:v>Net SAF premium</c:v>
                </c:pt>
                <c:pt idx="2">
                  <c:v>Catalytic Capital</c:v>
                </c:pt>
              </c:strCache>
            </c:strRef>
          </c:cat>
          <c:val>
            <c:numRef>
              <c:f>Dashboard!$AF$3:$AF$5</c:f>
              <c:numCache>
                <c:formatCode>General</c:formatCode>
                <c:ptCount val="3"/>
                <c:pt idx="0">
                  <c:v>6.5661863207137543</c:v>
                </c:pt>
                <c:pt idx="1">
                  <c:v>1.9676063594389601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1-7E46-8918-940E4A5AE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Projected Revenue vs. Baseline Fleet / Aircraft Capital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Projected Revenue</c:v>
          </c:tx>
          <c:invertIfNegative val="1"/>
          <c:cat>
            <c:numRef>
              <c:f>'Capital Allocation'!$A$4:$A$9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'Capital Allocation'!$B$4:$B$9</c:f>
              <c:numCache>
                <c:formatCode>\$#,##0;[Red]\(\$#,##0\);\-</c:formatCode>
                <c:ptCount val="6"/>
                <c:pt idx="0">
                  <c:v>14239000000</c:v>
                </c:pt>
                <c:pt idx="1">
                  <c:v>14552775781.818182</c:v>
                </c:pt>
                <c:pt idx="2">
                  <c:v>14899730146.666674</c:v>
                </c:pt>
                <c:pt idx="3">
                  <c:v>15254956289.565771</c:v>
                </c:pt>
                <c:pt idx="4">
                  <c:v>15618651418.906691</c:v>
                </c:pt>
                <c:pt idx="5">
                  <c:v>15991017444.7481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E-654D-A42C-585A25BCC212}"/>
            </c:ext>
          </c:extLst>
        </c:ser>
        <c:ser>
          <c:idx val="1"/>
          <c:order val="1"/>
          <c:tx>
            <c:v>Baseline Fleet / Aircraft Capital</c:v>
          </c:tx>
          <c:invertIfNegative val="1"/>
          <c:cat>
            <c:numRef>
              <c:f>'Capital Allocation'!$A$4:$A$9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'Capital Allocation'!$C$4:$C$9</c:f>
              <c:numCache>
                <c:formatCode>\$#,##0;[Red]\(\$#,##0\);\-</c:formatCode>
                <c:ptCount val="6"/>
                <c:pt idx="0">
                  <c:v>1600000000</c:v>
                </c:pt>
                <c:pt idx="1">
                  <c:v>1450000000</c:v>
                </c:pt>
                <c:pt idx="2">
                  <c:v>1614000000</c:v>
                </c:pt>
                <c:pt idx="3">
                  <c:v>1666000000</c:v>
                </c:pt>
                <c:pt idx="4">
                  <c:v>1168000000</c:v>
                </c:pt>
                <c:pt idx="5">
                  <c:v>1050000000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E-654D-A42C-585A25BCC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6</xdr:col>
      <xdr:colOff>0</xdr:colOff>
      <xdr:row>53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ellis.net/article/alaska-airlines-microsoft-twelve-sustainable-aviation-fuel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RowHeight="16" x14ac:dyDescent="0.2"/>
  <sheetData>
    <row r="1" spans="1:4" s="3" customFormat="1" ht="5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>
        <v>50000</v>
      </c>
      <c r="C2" t="s">
        <v>5</v>
      </c>
      <c r="D2" s="2" t="s">
        <v>6</v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RowHeight="16" x14ac:dyDescent="0.2"/>
  <sheetData>
    <row r="1" spans="1:6" x14ac:dyDescent="0.2">
      <c r="A1" t="s">
        <v>7</v>
      </c>
      <c r="B1" t="s">
        <v>8</v>
      </c>
      <c r="C1" t="s">
        <v>2</v>
      </c>
      <c r="D1" t="s">
        <v>9</v>
      </c>
      <c r="E1" t="s">
        <v>10</v>
      </c>
      <c r="F1" t="s">
        <v>11</v>
      </c>
    </row>
    <row r="2" spans="1:6" x14ac:dyDescent="0.2">
      <c r="A2" t="s">
        <v>12</v>
      </c>
      <c r="B2">
        <v>2025</v>
      </c>
      <c r="C2" t="s">
        <v>13</v>
      </c>
      <c r="D2" s="4">
        <v>0.02</v>
      </c>
      <c r="E2" t="s">
        <v>14</v>
      </c>
    </row>
    <row r="3" spans="1:6" x14ac:dyDescent="0.2">
      <c r="A3" t="s">
        <v>12</v>
      </c>
      <c r="B3">
        <v>2030</v>
      </c>
      <c r="C3" t="s">
        <v>13</v>
      </c>
      <c r="D3" s="4">
        <v>0.1</v>
      </c>
      <c r="E3" t="s">
        <v>14</v>
      </c>
    </row>
    <row r="4" spans="1:6" x14ac:dyDescent="0.2">
      <c r="A4" t="s">
        <v>12</v>
      </c>
      <c r="B4">
        <v>2040</v>
      </c>
      <c r="C4" t="s">
        <v>13</v>
      </c>
      <c r="D4" s="4">
        <v>0.22</v>
      </c>
      <c r="E4" t="s">
        <v>14</v>
      </c>
    </row>
    <row r="5" spans="1:6" x14ac:dyDescent="0.2">
      <c r="A5" t="s">
        <v>12</v>
      </c>
      <c r="B5">
        <v>2050</v>
      </c>
      <c r="C5" t="s">
        <v>13</v>
      </c>
      <c r="D5" t="s">
        <v>15</v>
      </c>
      <c r="E5" t="s">
        <v>14</v>
      </c>
    </row>
    <row r="6" spans="1:6" x14ac:dyDescent="0.2">
      <c r="A6" t="s">
        <v>16</v>
      </c>
      <c r="B6">
        <v>2025</v>
      </c>
      <c r="C6" t="s">
        <v>13</v>
      </c>
      <c r="D6" s="4">
        <v>0.02</v>
      </c>
      <c r="E6" t="s">
        <v>14</v>
      </c>
    </row>
    <row r="7" spans="1:6" x14ac:dyDescent="0.2">
      <c r="A7" t="s">
        <v>16</v>
      </c>
      <c r="B7">
        <v>2030</v>
      </c>
      <c r="C7" t="s">
        <v>13</v>
      </c>
      <c r="D7" s="4">
        <v>0.06</v>
      </c>
      <c r="E7" t="s">
        <v>14</v>
      </c>
    </row>
    <row r="8" spans="1:6" x14ac:dyDescent="0.2">
      <c r="A8" t="s">
        <v>16</v>
      </c>
      <c r="B8">
        <v>2040</v>
      </c>
      <c r="C8" t="s">
        <v>13</v>
      </c>
      <c r="D8" s="4">
        <v>0.34</v>
      </c>
      <c r="E8" t="s">
        <v>14</v>
      </c>
    </row>
    <row r="9" spans="1:6" x14ac:dyDescent="0.2">
      <c r="A9" t="s">
        <v>16</v>
      </c>
      <c r="B9">
        <v>2050</v>
      </c>
      <c r="C9" t="s">
        <v>13</v>
      </c>
      <c r="D9" s="4">
        <v>0.7</v>
      </c>
      <c r="E9" t="s">
        <v>14</v>
      </c>
    </row>
    <row r="10" spans="1:6" x14ac:dyDescent="0.2">
      <c r="A10" t="s">
        <v>17</v>
      </c>
      <c r="B10">
        <v>2030</v>
      </c>
      <c r="C10" t="s">
        <v>18</v>
      </c>
      <c r="D10" t="s">
        <v>14</v>
      </c>
      <c r="E10">
        <v>3</v>
      </c>
    </row>
    <row r="11" spans="1:6" x14ac:dyDescent="0.2">
      <c r="A11" t="s">
        <v>17</v>
      </c>
      <c r="B11">
        <v>2050</v>
      </c>
      <c r="C11" t="s">
        <v>18</v>
      </c>
      <c r="D11" t="s">
        <v>14</v>
      </c>
      <c r="E11">
        <v>35</v>
      </c>
    </row>
    <row r="12" spans="1:6" x14ac:dyDescent="0.2">
      <c r="A12" t="s">
        <v>17</v>
      </c>
      <c r="B12">
        <v>2024</v>
      </c>
      <c r="C12" t="s">
        <v>18</v>
      </c>
      <c r="D12" t="s">
        <v>14</v>
      </c>
      <c r="E12">
        <v>3.9E-2</v>
      </c>
    </row>
    <row r="13" spans="1:6" x14ac:dyDescent="0.2">
      <c r="A13" t="s">
        <v>17</v>
      </c>
      <c r="B13">
        <v>2030</v>
      </c>
      <c r="C13" t="s">
        <v>19</v>
      </c>
      <c r="E13">
        <v>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/>
  </sheetViews>
  <sheetFormatPr baseColWidth="10" defaultRowHeight="16" x14ac:dyDescent="0.2"/>
  <cols>
    <col min="2" max="3" width="13.6640625" customWidth="1"/>
    <col min="5" max="5" width="12.6640625" customWidth="1"/>
    <col min="11" max="11" width="15.33203125" customWidth="1"/>
    <col min="12" max="12" width="14.33203125" customWidth="1"/>
  </cols>
  <sheetData>
    <row r="1" spans="1:13" x14ac:dyDescent="0.2">
      <c r="A1" s="5" t="s">
        <v>8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</row>
    <row r="2" spans="1:13" x14ac:dyDescent="0.2">
      <c r="A2" t="s">
        <v>32</v>
      </c>
      <c r="B2" s="9">
        <v>91208000000</v>
      </c>
      <c r="C2" s="9">
        <v>76566000000</v>
      </c>
      <c r="D2" s="9">
        <v>57134000</v>
      </c>
      <c r="E2" s="9">
        <v>1123000000</v>
      </c>
      <c r="F2" s="6">
        <v>81.2</v>
      </c>
      <c r="G2" s="7">
        <v>2.74</v>
      </c>
      <c r="H2" s="12">
        <v>0.15110000000000001</v>
      </c>
      <c r="I2" s="6">
        <v>0.1371</v>
      </c>
      <c r="J2" s="6">
        <v>0.1091</v>
      </c>
      <c r="K2" s="13">
        <v>13779000000</v>
      </c>
      <c r="L2" s="13">
        <v>3075000000</v>
      </c>
      <c r="M2" s="8">
        <v>7.0999999999999994E-2</v>
      </c>
    </row>
    <row r="3" spans="1:13" x14ac:dyDescent="0.2">
      <c r="A3">
        <v>2025</v>
      </c>
      <c r="B3" s="9">
        <v>92962000000</v>
      </c>
      <c r="C3" s="9">
        <v>77110000000</v>
      </c>
      <c r="D3" s="6">
        <v>58627000</v>
      </c>
      <c r="E3" s="9">
        <v>1146000000</v>
      </c>
      <c r="F3" s="6">
        <v>81.099999999999994</v>
      </c>
      <c r="G3" s="7">
        <v>2.52</v>
      </c>
      <c r="H3" s="12">
        <v>0.1532</v>
      </c>
      <c r="I3" s="6">
        <v>0.1381</v>
      </c>
      <c r="J3" s="6">
        <v>0.1142</v>
      </c>
      <c r="K3" s="13">
        <v>14239000000</v>
      </c>
      <c r="L3" s="13">
        <v>2883000000</v>
      </c>
      <c r="M3" s="8">
        <v>2.8000000000000001E-2</v>
      </c>
    </row>
    <row r="5" spans="1:13" x14ac:dyDescent="0.2">
      <c r="A5" t="s">
        <v>33</v>
      </c>
      <c r="B5" s="11">
        <f t="shared" ref="B5:M5" si="0">(B3-B2)/B2</f>
        <v>1.9230769230769232E-2</v>
      </c>
      <c r="C5" s="11">
        <f t="shared" si="0"/>
        <v>7.1049813233027715E-3</v>
      </c>
      <c r="D5" s="11">
        <f t="shared" si="0"/>
        <v>2.6131550390310499E-2</v>
      </c>
      <c r="E5" s="11">
        <f t="shared" si="0"/>
        <v>2.0480854853072127E-2</v>
      </c>
      <c r="F5" s="11">
        <f t="shared" si="0"/>
        <v>-1.2315270935961641E-3</v>
      </c>
      <c r="G5" s="11">
        <f t="shared" si="0"/>
        <v>-8.0291970802919777E-2</v>
      </c>
      <c r="H5" s="11">
        <f t="shared" si="0"/>
        <v>1.389808074123091E-2</v>
      </c>
      <c r="I5" s="11">
        <f t="shared" si="0"/>
        <v>7.2939460247994229E-3</v>
      </c>
      <c r="J5" s="11">
        <f t="shared" si="0"/>
        <v>4.674610449129233E-2</v>
      </c>
      <c r="K5" s="11">
        <f t="shared" si="0"/>
        <v>3.3384135278322083E-2</v>
      </c>
      <c r="L5" s="11">
        <f t="shared" si="0"/>
        <v>-6.2439024390243902E-2</v>
      </c>
      <c r="M5" s="11">
        <f t="shared" si="0"/>
        <v>-0.60563380281690138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/>
  </sheetViews>
  <sheetFormatPr baseColWidth="10" defaultRowHeight="16" x14ac:dyDescent="0.2"/>
  <cols>
    <col min="1" max="1" width="40" customWidth="1"/>
    <col min="2" max="2" width="10" customWidth="1"/>
    <col min="3" max="3" width="18" customWidth="1"/>
    <col min="4" max="4" width="28" customWidth="1"/>
    <col min="5" max="5" width="46" customWidth="1"/>
    <col min="7" max="7" width="34" customWidth="1"/>
    <col min="8" max="8" width="18" customWidth="1"/>
  </cols>
  <sheetData>
    <row r="1" spans="1:8" ht="17" x14ac:dyDescent="0.2">
      <c r="A1" s="32" t="s">
        <v>34</v>
      </c>
      <c r="B1" s="32" t="s">
        <v>8</v>
      </c>
      <c r="C1" s="32" t="s">
        <v>35</v>
      </c>
      <c r="D1" s="32" t="s">
        <v>36</v>
      </c>
      <c r="E1" s="32" t="s">
        <v>3</v>
      </c>
      <c r="F1" s="3"/>
      <c r="G1" s="3"/>
      <c r="H1" s="3"/>
    </row>
    <row r="2" spans="1:8" ht="17" x14ac:dyDescent="0.2">
      <c r="A2" s="3" t="s">
        <v>37</v>
      </c>
      <c r="B2" s="3">
        <v>2019</v>
      </c>
      <c r="C2" s="30">
        <v>1.39</v>
      </c>
      <c r="D2" s="3" t="s">
        <v>38</v>
      </c>
      <c r="E2" s="3" t="s">
        <v>39</v>
      </c>
      <c r="F2" s="3"/>
      <c r="G2" s="3" t="s">
        <v>82</v>
      </c>
      <c r="H2" s="3" t="s">
        <v>35</v>
      </c>
    </row>
    <row r="3" spans="1:8" ht="17" x14ac:dyDescent="0.2">
      <c r="A3" s="3" t="s">
        <v>83</v>
      </c>
      <c r="B3" s="3">
        <v>2025</v>
      </c>
      <c r="C3" s="30">
        <v>1.33</v>
      </c>
      <c r="D3" s="3" t="s">
        <v>84</v>
      </c>
      <c r="E3" s="3" t="s">
        <v>85</v>
      </c>
      <c r="F3" s="3"/>
      <c r="G3" s="3" t="s">
        <v>86</v>
      </c>
      <c r="H3" s="26">
        <f>C4+C5</f>
        <v>1090676144</v>
      </c>
    </row>
    <row r="4" spans="1:8" ht="17" x14ac:dyDescent="0.2">
      <c r="A4" s="3" t="s">
        <v>87</v>
      </c>
      <c r="B4" s="3">
        <v>2025</v>
      </c>
      <c r="C4" s="26">
        <v>1079785000</v>
      </c>
      <c r="D4" s="3" t="s">
        <v>88</v>
      </c>
      <c r="E4" s="3" t="s">
        <v>85</v>
      </c>
      <c r="F4" s="3"/>
      <c r="G4" s="3" t="s">
        <v>89</v>
      </c>
      <c r="H4" s="31">
        <f>C20</f>
        <v>9.985680955720987E-3</v>
      </c>
    </row>
    <row r="5" spans="1:8" ht="17" x14ac:dyDescent="0.2">
      <c r="A5" s="3" t="s">
        <v>90</v>
      </c>
      <c r="B5" s="3">
        <v>2025</v>
      </c>
      <c r="C5" s="26">
        <v>10891144</v>
      </c>
      <c r="D5" s="3" t="s">
        <v>88</v>
      </c>
      <c r="E5" s="3" t="s">
        <v>85</v>
      </c>
      <c r="F5" s="3"/>
      <c r="G5" s="3" t="s">
        <v>91</v>
      </c>
      <c r="H5" s="31">
        <f>C19</f>
        <v>9.5036160558464224E-3</v>
      </c>
    </row>
    <row r="6" spans="1:8" ht="17" x14ac:dyDescent="0.2">
      <c r="A6" s="3" t="s">
        <v>92</v>
      </c>
      <c r="B6" s="3">
        <v>2025</v>
      </c>
      <c r="C6" s="27">
        <v>1146000000</v>
      </c>
      <c r="D6" s="3" t="s">
        <v>88</v>
      </c>
      <c r="E6" s="3" t="s">
        <v>93</v>
      </c>
      <c r="F6" s="3"/>
      <c r="G6" s="3" t="s">
        <v>94</v>
      </c>
      <c r="H6" s="31">
        <f>C11/C10-1</f>
        <v>1.9230769230769162E-2</v>
      </c>
    </row>
    <row r="7" spans="1:8" ht="17" x14ac:dyDescent="0.2">
      <c r="A7" s="3" t="s">
        <v>95</v>
      </c>
      <c r="B7" s="3">
        <v>2025</v>
      </c>
      <c r="C7" s="29">
        <v>2.5099999999999998</v>
      </c>
      <c r="D7" s="3" t="s">
        <v>96</v>
      </c>
      <c r="E7" s="3" t="s">
        <v>97</v>
      </c>
      <c r="F7" s="3"/>
      <c r="G7" s="3"/>
      <c r="H7" s="3"/>
    </row>
    <row r="8" spans="1:8" ht="17" x14ac:dyDescent="0.2">
      <c r="A8" s="3" t="s">
        <v>98</v>
      </c>
      <c r="B8" s="3">
        <v>2025</v>
      </c>
      <c r="C8" s="28">
        <v>14239000000</v>
      </c>
      <c r="D8" s="3" t="s">
        <v>99</v>
      </c>
      <c r="E8" s="3" t="s">
        <v>97</v>
      </c>
      <c r="F8" s="3"/>
      <c r="G8" s="3"/>
      <c r="H8" s="3"/>
    </row>
    <row r="9" spans="1:8" ht="17" x14ac:dyDescent="0.2">
      <c r="A9" s="3" t="s">
        <v>100</v>
      </c>
      <c r="B9" s="3">
        <v>2025</v>
      </c>
      <c r="C9" s="28">
        <v>12835000000</v>
      </c>
      <c r="D9" s="3" t="s">
        <v>99</v>
      </c>
      <c r="E9" s="3" t="s">
        <v>97</v>
      </c>
      <c r="F9" s="3"/>
      <c r="G9" s="3"/>
      <c r="H9" s="3"/>
    </row>
    <row r="10" spans="1:8" ht="17" x14ac:dyDescent="0.2">
      <c r="A10" s="3" t="s">
        <v>101</v>
      </c>
      <c r="B10" s="3">
        <v>2024</v>
      </c>
      <c r="C10" s="27">
        <v>91208000000</v>
      </c>
      <c r="D10" s="3" t="s">
        <v>102</v>
      </c>
      <c r="E10" s="3" t="s">
        <v>103</v>
      </c>
      <c r="F10" s="3"/>
      <c r="G10" s="3"/>
      <c r="H10" s="3"/>
    </row>
    <row r="11" spans="1:8" ht="17" x14ac:dyDescent="0.2">
      <c r="A11" s="3" t="s">
        <v>104</v>
      </c>
      <c r="B11" s="3">
        <v>2025</v>
      </c>
      <c r="C11" s="27">
        <v>92962000000</v>
      </c>
      <c r="D11" s="3" t="s">
        <v>102</v>
      </c>
      <c r="E11" s="3" t="s">
        <v>97</v>
      </c>
      <c r="F11" s="3"/>
      <c r="G11" s="3"/>
      <c r="H11" s="3"/>
    </row>
    <row r="12" spans="1:8" ht="17" x14ac:dyDescent="0.2">
      <c r="A12" s="3" t="s">
        <v>105</v>
      </c>
      <c r="B12" s="3">
        <v>2025</v>
      </c>
      <c r="C12" s="3">
        <v>10428326</v>
      </c>
      <c r="D12" s="3" t="s">
        <v>106</v>
      </c>
      <c r="E12" s="3" t="s">
        <v>85</v>
      </c>
      <c r="F12" s="3"/>
      <c r="G12" s="3"/>
      <c r="H12" s="3"/>
    </row>
    <row r="13" spans="1:8" ht="17" x14ac:dyDescent="0.2">
      <c r="A13" s="3" t="s">
        <v>107</v>
      </c>
      <c r="B13" s="3">
        <v>2025</v>
      </c>
      <c r="C13" s="3">
        <v>13789</v>
      </c>
      <c r="D13" s="3" t="s">
        <v>106</v>
      </c>
      <c r="E13" s="3" t="s">
        <v>85</v>
      </c>
      <c r="F13" s="3"/>
      <c r="G13" s="3"/>
      <c r="H13" s="3"/>
    </row>
    <row r="14" spans="1:8" ht="17" x14ac:dyDescent="0.2">
      <c r="A14" s="3" t="s">
        <v>108</v>
      </c>
      <c r="B14" s="3">
        <v>2025</v>
      </c>
      <c r="C14" s="3">
        <v>6385</v>
      </c>
      <c r="D14" s="3" t="s">
        <v>106</v>
      </c>
      <c r="E14" s="3" t="s">
        <v>85</v>
      </c>
      <c r="F14" s="3"/>
      <c r="G14" s="3"/>
      <c r="H14" s="3"/>
    </row>
    <row r="15" spans="1:8" ht="17" x14ac:dyDescent="0.2">
      <c r="A15" s="3" t="s">
        <v>109</v>
      </c>
      <c r="B15" s="3">
        <v>2025</v>
      </c>
      <c r="C15" s="3">
        <v>866</v>
      </c>
      <c r="D15" s="3" t="s">
        <v>106</v>
      </c>
      <c r="E15" s="3" t="s">
        <v>85</v>
      </c>
      <c r="F15" s="3"/>
      <c r="G15" s="3"/>
      <c r="H15" s="3"/>
    </row>
    <row r="16" spans="1:8" ht="17" x14ac:dyDescent="0.2">
      <c r="A16" s="3" t="s">
        <v>110</v>
      </c>
      <c r="B16" s="3">
        <v>2025</v>
      </c>
      <c r="C16" s="3">
        <v>13321</v>
      </c>
      <c r="D16" s="3" t="s">
        <v>106</v>
      </c>
      <c r="E16" s="3" t="s">
        <v>85</v>
      </c>
      <c r="F16" s="3"/>
      <c r="G16" s="3"/>
      <c r="H16" s="3"/>
    </row>
    <row r="17" spans="1:8" ht="17" x14ac:dyDescent="0.2">
      <c r="A17" s="3" t="s">
        <v>111</v>
      </c>
      <c r="B17" s="3">
        <v>2025</v>
      </c>
      <c r="C17" s="3">
        <v>10449366</v>
      </c>
      <c r="D17" s="3" t="s">
        <v>106</v>
      </c>
      <c r="E17" s="3" t="s">
        <v>85</v>
      </c>
      <c r="F17" s="3"/>
      <c r="G17" s="3"/>
      <c r="H17" s="3"/>
    </row>
    <row r="18" spans="1:8" ht="17" x14ac:dyDescent="0.2">
      <c r="A18" s="3" t="s">
        <v>112</v>
      </c>
      <c r="B18" s="3">
        <v>2025</v>
      </c>
      <c r="C18" s="3">
        <f>C12/C3*1000</f>
        <v>7840846616.5413532</v>
      </c>
      <c r="D18" s="3" t="s">
        <v>113</v>
      </c>
      <c r="E18" s="3" t="s">
        <v>114</v>
      </c>
      <c r="F18" s="3"/>
      <c r="G18" s="3"/>
      <c r="H18" s="3"/>
    </row>
    <row r="19" spans="1:8" ht="17" x14ac:dyDescent="0.2">
      <c r="A19" s="3" t="s">
        <v>115</v>
      </c>
      <c r="B19" s="3">
        <v>2025</v>
      </c>
      <c r="C19" s="22">
        <f>C5/C6</f>
        <v>9.5036160558464224E-3</v>
      </c>
      <c r="D19" s="3" t="s">
        <v>116</v>
      </c>
      <c r="E19" s="3" t="s">
        <v>117</v>
      </c>
      <c r="F19" s="3"/>
      <c r="G19" s="3"/>
      <c r="H19" s="3"/>
    </row>
    <row r="20" spans="1:8" ht="17" x14ac:dyDescent="0.2">
      <c r="A20" s="3" t="s">
        <v>118</v>
      </c>
      <c r="B20" s="3">
        <v>2025</v>
      </c>
      <c r="C20" s="22">
        <f>C5/(C4+C5)</f>
        <v>9.985680955720987E-3</v>
      </c>
      <c r="D20" s="3" t="s">
        <v>119</v>
      </c>
      <c r="E20" s="3" t="s">
        <v>120</v>
      </c>
      <c r="F20" s="3"/>
      <c r="G20" s="3"/>
      <c r="H20" s="3"/>
    </row>
    <row r="21" spans="1:8" ht="34" x14ac:dyDescent="0.2">
      <c r="A21" s="3" t="s">
        <v>121</v>
      </c>
      <c r="B21" s="3">
        <v>2025</v>
      </c>
      <c r="C21" s="3">
        <v>3829342</v>
      </c>
      <c r="D21" s="3" t="s">
        <v>106</v>
      </c>
      <c r="E21" s="3" t="s">
        <v>122</v>
      </c>
      <c r="F21" s="3"/>
      <c r="G21" s="3"/>
      <c r="H21" s="3"/>
    </row>
    <row r="22" spans="1:8" x14ac:dyDescent="0.2">
      <c r="A22" t="s">
        <v>123</v>
      </c>
      <c r="B22">
        <v>2025</v>
      </c>
      <c r="C22" s="33">
        <v>627000000</v>
      </c>
      <c r="D22" t="s">
        <v>99</v>
      </c>
      <c r="E22" t="s">
        <v>97</v>
      </c>
    </row>
    <row r="23" spans="1:8" x14ac:dyDescent="0.2">
      <c r="A23" t="s">
        <v>124</v>
      </c>
      <c r="B23">
        <v>2025</v>
      </c>
      <c r="C23" s="33">
        <v>1496000000</v>
      </c>
      <c r="D23" t="s">
        <v>99</v>
      </c>
      <c r="E23" t="s">
        <v>97</v>
      </c>
    </row>
    <row r="24" spans="1:8" x14ac:dyDescent="0.2">
      <c r="A24" t="s">
        <v>125</v>
      </c>
      <c r="B24">
        <v>2025</v>
      </c>
      <c r="C24" s="33">
        <f>C22+C23</f>
        <v>2123000000</v>
      </c>
      <c r="D24" t="s">
        <v>99</v>
      </c>
      <c r="E24" t="s">
        <v>126</v>
      </c>
    </row>
    <row r="25" spans="1:8" x14ac:dyDescent="0.2">
      <c r="A25" t="s">
        <v>127</v>
      </c>
      <c r="B25">
        <v>2025</v>
      </c>
      <c r="C25" s="33">
        <v>2973000000</v>
      </c>
      <c r="D25" t="s">
        <v>99</v>
      </c>
      <c r="E25" t="s">
        <v>128</v>
      </c>
    </row>
    <row r="26" spans="1:8" x14ac:dyDescent="0.2">
      <c r="A26" t="s">
        <v>129</v>
      </c>
      <c r="B26">
        <v>2025</v>
      </c>
      <c r="C26" s="33">
        <v>1200000000</v>
      </c>
      <c r="D26" t="s">
        <v>99</v>
      </c>
      <c r="E26" t="s">
        <v>97</v>
      </c>
    </row>
    <row r="27" spans="1:8" x14ac:dyDescent="0.2">
      <c r="A27" t="s">
        <v>130</v>
      </c>
      <c r="B27">
        <v>2025</v>
      </c>
      <c r="C27" s="33">
        <v>1600000000</v>
      </c>
      <c r="D27" t="s">
        <v>99</v>
      </c>
      <c r="E27" t="s">
        <v>97</v>
      </c>
    </row>
    <row r="28" spans="1:8" x14ac:dyDescent="0.2">
      <c r="A28" t="s">
        <v>131</v>
      </c>
      <c r="B28">
        <v>2026</v>
      </c>
      <c r="C28" s="33">
        <v>1450000000</v>
      </c>
      <c r="D28" t="s">
        <v>99</v>
      </c>
      <c r="E28" t="s">
        <v>132</v>
      </c>
    </row>
    <row r="29" spans="1:8" x14ac:dyDescent="0.2">
      <c r="A29" t="s">
        <v>133</v>
      </c>
      <c r="B29">
        <v>2031</v>
      </c>
      <c r="C29" s="33">
        <v>4264000000</v>
      </c>
      <c r="D29" t="s">
        <v>99</v>
      </c>
      <c r="E29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baseColWidth="10" defaultRowHeight="16" x14ac:dyDescent="0.2"/>
  <sheetData>
    <row r="1" spans="1:6" x14ac:dyDescent="0.2">
      <c r="A1" t="s">
        <v>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">
      <c r="A2">
        <v>2025</v>
      </c>
      <c r="B2">
        <v>6.6966218948364258</v>
      </c>
      <c r="C2">
        <f>B2/
  _xlfn.XLOOKUP(2025,$A$2:$A$27,$B$2:$B$27)</f>
        <v>1</v>
      </c>
      <c r="D2">
        <v>85.781158447265625</v>
      </c>
      <c r="E2">
        <f>D2/
  _xlfn.XLOOKUP(2025,$A$2:$A$27,$D$2:$D$27)</f>
        <v>1</v>
      </c>
      <c r="F2">
        <v>3230.09423828125</v>
      </c>
    </row>
    <row r="3" spans="1:6" x14ac:dyDescent="0.2">
      <c r="A3">
        <v>2026</v>
      </c>
      <c r="B3">
        <v>5.9723396301269531</v>
      </c>
      <c r="C3">
        <f t="shared" ref="C3:C27" si="0">B3/
  _xlfn.XLOOKUP(2025,$A$2:$A$27,$B$2:$B$27)</f>
        <v>0.8918436375707659</v>
      </c>
      <c r="D3">
        <v>86.455696105957031</v>
      </c>
      <c r="E3">
        <f t="shared" ref="E3:E27" si="1">D3/
  _xlfn.XLOOKUP(2025,$A$2:$A$27,$D$2:$D$27)</f>
        <v>1.0078634710803782</v>
      </c>
      <c r="F3">
        <v>3275.913330078125</v>
      </c>
    </row>
    <row r="4" spans="1:6" x14ac:dyDescent="0.2">
      <c r="A4">
        <v>2027</v>
      </c>
      <c r="B4">
        <v>6.4054851531982422</v>
      </c>
      <c r="C4">
        <f t="shared" si="0"/>
        <v>0.95652483502724395</v>
      </c>
      <c r="D4">
        <v>87.136665344238281</v>
      </c>
      <c r="E4">
        <f t="shared" si="1"/>
        <v>1.015801918760586</v>
      </c>
      <c r="F4">
        <v>3303.1796875</v>
      </c>
    </row>
    <row r="5" spans="1:6" x14ac:dyDescent="0.2">
      <c r="A5">
        <v>2028</v>
      </c>
      <c r="B5">
        <v>6.5878376960754386</v>
      </c>
      <c r="C5">
        <f t="shared" si="0"/>
        <v>0.98375536196169777</v>
      </c>
      <c r="D5">
        <v>87.833709716796875</v>
      </c>
      <c r="E5">
        <f t="shared" si="1"/>
        <v>1.0239277634702622</v>
      </c>
      <c r="F5">
        <v>3304.9765625</v>
      </c>
    </row>
    <row r="6" spans="1:6" x14ac:dyDescent="0.2">
      <c r="A6">
        <v>2029</v>
      </c>
      <c r="B6">
        <v>6.7469620704650879</v>
      </c>
      <c r="C6">
        <f t="shared" si="0"/>
        <v>1.0075172492070186</v>
      </c>
      <c r="D6">
        <v>88.507492065429688</v>
      </c>
      <c r="E6">
        <f t="shared" si="1"/>
        <v>1.0317824294695215</v>
      </c>
      <c r="F6">
        <v>3320.0673828125</v>
      </c>
    </row>
    <row r="7" spans="1:6" x14ac:dyDescent="0.2">
      <c r="A7">
        <v>2030</v>
      </c>
      <c r="B7">
        <v>6.7818222045898438</v>
      </c>
      <c r="C7">
        <f t="shared" si="0"/>
        <v>1.0127228789517164</v>
      </c>
      <c r="D7">
        <v>89.191436767578125</v>
      </c>
      <c r="E7">
        <f t="shared" si="1"/>
        <v>1.0397555638329248</v>
      </c>
      <c r="F7">
        <v>3347.746337890625</v>
      </c>
    </row>
    <row r="8" spans="1:6" x14ac:dyDescent="0.2">
      <c r="A8">
        <v>2031</v>
      </c>
      <c r="B8">
        <v>6.7284436225891113</v>
      </c>
      <c r="C8">
        <f t="shared" si="0"/>
        <v>1.0047519074919284</v>
      </c>
      <c r="D8">
        <v>89.892051696777344</v>
      </c>
      <c r="E8">
        <f t="shared" si="1"/>
        <v>1.0479230325624351</v>
      </c>
      <c r="F8">
        <v>3372.73681640625</v>
      </c>
    </row>
    <row r="9" spans="1:6" x14ac:dyDescent="0.2">
      <c r="A9">
        <v>2032</v>
      </c>
      <c r="B9">
        <v>6.7404766082763672</v>
      </c>
      <c r="C9">
        <f t="shared" si="0"/>
        <v>1.0065487814794736</v>
      </c>
      <c r="D9">
        <v>90.644325256347656</v>
      </c>
      <c r="E9">
        <f t="shared" si="1"/>
        <v>1.0566927154763441</v>
      </c>
      <c r="F9">
        <v>3400.6318359375</v>
      </c>
    </row>
    <row r="10" spans="1:6" x14ac:dyDescent="0.2">
      <c r="A10">
        <v>2033</v>
      </c>
      <c r="B10">
        <v>6.9223494529724121</v>
      </c>
      <c r="C10">
        <f t="shared" si="0"/>
        <v>1.0337076755535561</v>
      </c>
      <c r="D10">
        <v>91.404975891113281</v>
      </c>
      <c r="E10">
        <f t="shared" si="1"/>
        <v>1.0655600547444801</v>
      </c>
      <c r="F10">
        <v>3436.59423828125</v>
      </c>
    </row>
    <row r="11" spans="1:6" x14ac:dyDescent="0.2">
      <c r="A11">
        <v>2034</v>
      </c>
      <c r="B11">
        <v>7.1716175079345703</v>
      </c>
      <c r="C11">
        <f t="shared" si="0"/>
        <v>1.0709306304816761</v>
      </c>
      <c r="D11">
        <v>92.163482666015625</v>
      </c>
      <c r="E11">
        <f t="shared" si="1"/>
        <v>1.0744024018126728</v>
      </c>
      <c r="F11">
        <v>3481.723388671875</v>
      </c>
    </row>
    <row r="12" spans="1:6" x14ac:dyDescent="0.2">
      <c r="A12">
        <v>2035</v>
      </c>
      <c r="B12">
        <v>7.2526111602783203</v>
      </c>
      <c r="C12">
        <f t="shared" si="0"/>
        <v>1.0830253333954247</v>
      </c>
      <c r="D12">
        <v>92.923797607421875</v>
      </c>
      <c r="E12">
        <f t="shared" si="1"/>
        <v>1.0832658277114224</v>
      </c>
      <c r="F12">
        <v>3531.49072265625</v>
      </c>
    </row>
    <row r="13" spans="1:6" x14ac:dyDescent="0.2">
      <c r="A13">
        <v>2036</v>
      </c>
      <c r="B13">
        <v>7.3257722854614258</v>
      </c>
      <c r="C13">
        <f t="shared" si="0"/>
        <v>1.0939504126864501</v>
      </c>
      <c r="D13">
        <v>93.685272216796875</v>
      </c>
      <c r="E13">
        <f t="shared" si="1"/>
        <v>1.0921427725225969</v>
      </c>
      <c r="F13">
        <v>3570.2548828125</v>
      </c>
    </row>
    <row r="14" spans="1:6" x14ac:dyDescent="0.2">
      <c r="A14">
        <v>2037</v>
      </c>
      <c r="B14">
        <v>7.5709733963012704</v>
      </c>
      <c r="C14">
        <f t="shared" si="0"/>
        <v>1.1305660548251997</v>
      </c>
      <c r="D14">
        <v>94.44244384765625</v>
      </c>
      <c r="E14">
        <f t="shared" si="1"/>
        <v>1.1009695550534584</v>
      </c>
      <c r="F14">
        <v>3609.54638671875</v>
      </c>
    </row>
    <row r="15" spans="1:6" x14ac:dyDescent="0.2">
      <c r="A15">
        <v>2038</v>
      </c>
      <c r="B15">
        <v>7.6672801971435547</v>
      </c>
      <c r="C15">
        <f t="shared" si="0"/>
        <v>1.1449474552319545</v>
      </c>
      <c r="D15">
        <v>95.218009948730469</v>
      </c>
      <c r="E15">
        <f t="shared" si="1"/>
        <v>1.1100107724386374</v>
      </c>
      <c r="F15">
        <v>3646.8251953125</v>
      </c>
    </row>
    <row r="16" spans="1:6" x14ac:dyDescent="0.2">
      <c r="A16">
        <v>2039</v>
      </c>
      <c r="B16">
        <v>7.8407039642333984</v>
      </c>
      <c r="C16">
        <f t="shared" si="0"/>
        <v>1.1708446568081052</v>
      </c>
      <c r="D16">
        <v>95.983772277832031</v>
      </c>
      <c r="E16">
        <f t="shared" si="1"/>
        <v>1.1189377016496986</v>
      </c>
      <c r="F16">
        <v>3686.138671875</v>
      </c>
    </row>
    <row r="17" spans="1:6" x14ac:dyDescent="0.2">
      <c r="A17">
        <v>2040</v>
      </c>
      <c r="B17">
        <v>7.9362306594848633</v>
      </c>
      <c r="C17">
        <f t="shared" si="0"/>
        <v>1.1851095648097236</v>
      </c>
      <c r="D17">
        <v>96.766609191894531</v>
      </c>
      <c r="E17">
        <f t="shared" si="1"/>
        <v>1.1280636790581728</v>
      </c>
      <c r="F17">
        <v>3721.854736328125</v>
      </c>
    </row>
    <row r="18" spans="1:6" x14ac:dyDescent="0.2">
      <c r="A18">
        <v>2041</v>
      </c>
      <c r="B18">
        <v>8.0650997161865234</v>
      </c>
      <c r="C18">
        <f t="shared" si="0"/>
        <v>1.2043534550465349</v>
      </c>
      <c r="D18">
        <v>97.560791015625</v>
      </c>
      <c r="E18">
        <f t="shared" si="1"/>
        <v>1.1373219105638561</v>
      </c>
      <c r="F18">
        <v>3750.995849609375</v>
      </c>
    </row>
    <row r="19" spans="1:6" x14ac:dyDescent="0.2">
      <c r="A19">
        <v>2042</v>
      </c>
      <c r="B19">
        <v>8.1309089660644531</v>
      </c>
      <c r="C19">
        <f t="shared" si="0"/>
        <v>1.2141806859864621</v>
      </c>
      <c r="D19">
        <v>98.385910034179688</v>
      </c>
      <c r="E19">
        <f t="shared" si="1"/>
        <v>1.1469407946345571</v>
      </c>
      <c r="F19">
        <v>3784.489501953125</v>
      </c>
    </row>
    <row r="20" spans="1:6" x14ac:dyDescent="0.2">
      <c r="A20">
        <v>2043</v>
      </c>
      <c r="B20">
        <v>8.2027835845947266</v>
      </c>
      <c r="C20">
        <f t="shared" si="0"/>
        <v>1.2249136524968893</v>
      </c>
      <c r="D20">
        <v>99.208084106445312</v>
      </c>
      <c r="E20">
        <f t="shared" si="1"/>
        <v>1.156525347782916</v>
      </c>
      <c r="F20">
        <v>3816.898193359375</v>
      </c>
    </row>
    <row r="21" spans="1:6" x14ac:dyDescent="0.2">
      <c r="A21">
        <v>2044</v>
      </c>
      <c r="B21">
        <v>8.2871971130371094</v>
      </c>
      <c r="C21">
        <f t="shared" si="0"/>
        <v>1.2375190421646967</v>
      </c>
      <c r="D21">
        <v>100.03086853027339</v>
      </c>
      <c r="E21">
        <f t="shared" si="1"/>
        <v>1.1661170161483403</v>
      </c>
      <c r="F21">
        <v>3846.7177734375</v>
      </c>
    </row>
    <row r="22" spans="1:6" x14ac:dyDescent="0.2">
      <c r="A22">
        <v>2045</v>
      </c>
      <c r="B22">
        <v>8.4855947494506836</v>
      </c>
      <c r="C22">
        <f t="shared" si="0"/>
        <v>1.267145567229006</v>
      </c>
      <c r="D22">
        <v>100.8593368530273</v>
      </c>
      <c r="E22">
        <f t="shared" si="1"/>
        <v>1.1757749449726895</v>
      </c>
      <c r="F22">
        <v>3878.714599609375</v>
      </c>
    </row>
    <row r="23" spans="1:6" x14ac:dyDescent="0.2">
      <c r="A23">
        <v>2046</v>
      </c>
      <c r="B23">
        <v>8.6213140487670898</v>
      </c>
      <c r="C23">
        <f t="shared" si="0"/>
        <v>1.2874123974977203</v>
      </c>
      <c r="D23">
        <v>101.6915740966797</v>
      </c>
      <c r="E23">
        <f t="shared" si="1"/>
        <v>1.18547681026242</v>
      </c>
      <c r="F23">
        <v>3908.853515625</v>
      </c>
    </row>
    <row r="24" spans="1:6" x14ac:dyDescent="0.2">
      <c r="A24">
        <v>2047</v>
      </c>
      <c r="B24">
        <v>8.7426185607910156</v>
      </c>
      <c r="C24">
        <f t="shared" si="0"/>
        <v>1.3055266816739646</v>
      </c>
      <c r="D24">
        <v>102.5276412963867</v>
      </c>
      <c r="E24">
        <f t="shared" si="1"/>
        <v>1.1952233235392369</v>
      </c>
      <c r="F24">
        <v>3936.766357421875</v>
      </c>
    </row>
    <row r="25" spans="1:6" x14ac:dyDescent="0.2">
      <c r="A25">
        <v>2048</v>
      </c>
      <c r="B25">
        <v>8.8597297668457031</v>
      </c>
      <c r="C25">
        <f t="shared" si="0"/>
        <v>1.3230147835697859</v>
      </c>
      <c r="D25">
        <v>103.37042236328119</v>
      </c>
      <c r="E25">
        <f t="shared" si="1"/>
        <v>1.2050481042037764</v>
      </c>
      <c r="F25">
        <v>3964.698974609375</v>
      </c>
    </row>
    <row r="26" spans="1:6" x14ac:dyDescent="0.2">
      <c r="A26">
        <v>2049</v>
      </c>
      <c r="B26">
        <v>8.9995031356811523</v>
      </c>
      <c r="C26">
        <f t="shared" si="0"/>
        <v>1.3438870040759525</v>
      </c>
      <c r="D26">
        <v>104.2101669311523</v>
      </c>
      <c r="E26">
        <f t="shared" si="1"/>
        <v>1.2148374866634146</v>
      </c>
      <c r="F26">
        <v>3987.364990234375</v>
      </c>
    </row>
    <row r="27" spans="1:6" x14ac:dyDescent="0.2">
      <c r="A27">
        <v>2050</v>
      </c>
      <c r="B27">
        <v>9.1152992248535156</v>
      </c>
      <c r="C27">
        <f t="shared" si="0"/>
        <v>1.3611787208535788</v>
      </c>
      <c r="D27">
        <v>105.0509719848633</v>
      </c>
      <c r="E27">
        <f t="shared" si="1"/>
        <v>1.2246392318127048</v>
      </c>
      <c r="F27">
        <v>4013.63134765625</v>
      </c>
    </row>
    <row r="29" spans="1:6" x14ac:dyDescent="0.2">
      <c r="A29" t="s">
        <v>45</v>
      </c>
      <c r="B29" s="11">
        <f>(_xlfn.XLOOKUP(2035,$A$2:$A$27,$D$2:$D$27)/
  _xlfn.XLOOKUP(2025,$A$2:$A$27,$D$2:$D$27))^(1/10)-1</f>
        <v>8.0301090426051491E-3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60"/>
  <sheetViews>
    <sheetView workbookViewId="0"/>
  </sheetViews>
  <sheetFormatPr baseColWidth="10" defaultRowHeight="16" x14ac:dyDescent="0.2"/>
  <cols>
    <col min="5" max="5" width="15.5" customWidth="1"/>
  </cols>
  <sheetData>
    <row r="1" spans="1:9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 x14ac:dyDescent="0.2">
      <c r="A2">
        <v>2018</v>
      </c>
      <c r="B2">
        <v>1</v>
      </c>
      <c r="C2" t="s">
        <v>55</v>
      </c>
      <c r="D2" t="s">
        <v>56</v>
      </c>
      <c r="E2" t="s">
        <v>57</v>
      </c>
      <c r="F2" s="14">
        <v>760163</v>
      </c>
      <c r="G2" s="14">
        <v>760163</v>
      </c>
      <c r="H2">
        <f>--ISNUMBER(SEARCH("Jet Fuel",E2))</f>
        <v>0</v>
      </c>
      <c r="I2" s="20">
        <f>DATE(A2,B2,1)</f>
        <v>43101</v>
      </c>
    </row>
    <row r="3" spans="1:9" x14ac:dyDescent="0.2">
      <c r="A3">
        <v>2018</v>
      </c>
      <c r="B3">
        <v>1</v>
      </c>
      <c r="C3" t="s">
        <v>55</v>
      </c>
      <c r="D3" t="s">
        <v>56</v>
      </c>
      <c r="E3" t="s">
        <v>58</v>
      </c>
      <c r="F3" s="14">
        <v>186414</v>
      </c>
      <c r="G3" s="14">
        <v>186414</v>
      </c>
      <c r="H3">
        <f t="shared" ref="H3:H66" si="0">--ISNUMBER(SEARCH("Jet Fuel",E3))</f>
        <v>0</v>
      </c>
      <c r="I3" s="20">
        <f t="shared" ref="I3:I66" si="1">DATE(A3,B3,1)</f>
        <v>43101</v>
      </c>
    </row>
    <row r="4" spans="1:9" x14ac:dyDescent="0.2">
      <c r="A4">
        <v>2018</v>
      </c>
      <c r="B4">
        <v>1</v>
      </c>
      <c r="C4" t="s">
        <v>55</v>
      </c>
      <c r="D4" t="s">
        <v>56</v>
      </c>
      <c r="E4" t="s">
        <v>59</v>
      </c>
      <c r="F4" s="14">
        <v>20688</v>
      </c>
      <c r="G4" s="14">
        <v>20688</v>
      </c>
      <c r="H4">
        <f t="shared" si="0"/>
        <v>0</v>
      </c>
      <c r="I4" s="20">
        <f t="shared" si="1"/>
        <v>43101</v>
      </c>
    </row>
    <row r="5" spans="1:9" x14ac:dyDescent="0.2">
      <c r="A5">
        <v>2018</v>
      </c>
      <c r="B5">
        <v>1</v>
      </c>
      <c r="C5" t="s">
        <v>55</v>
      </c>
      <c r="D5" t="s">
        <v>60</v>
      </c>
      <c r="E5" t="s">
        <v>61</v>
      </c>
      <c r="F5" s="14">
        <v>165745904</v>
      </c>
      <c r="G5" s="14">
        <v>110496056</v>
      </c>
      <c r="H5">
        <f t="shared" si="0"/>
        <v>0</v>
      </c>
      <c r="I5" s="20">
        <f t="shared" si="1"/>
        <v>43101</v>
      </c>
    </row>
    <row r="6" spans="1:9" x14ac:dyDescent="0.2">
      <c r="A6">
        <v>2018</v>
      </c>
      <c r="B6">
        <v>1</v>
      </c>
      <c r="C6" t="s">
        <v>62</v>
      </c>
      <c r="D6" t="s">
        <v>60</v>
      </c>
      <c r="E6" t="s">
        <v>63</v>
      </c>
      <c r="F6" s="14">
        <v>26685400</v>
      </c>
      <c r="G6" s="14">
        <v>15697294</v>
      </c>
      <c r="H6">
        <f t="shared" si="0"/>
        <v>0</v>
      </c>
      <c r="I6" s="20">
        <f t="shared" si="1"/>
        <v>43101</v>
      </c>
    </row>
    <row r="7" spans="1:9" x14ac:dyDescent="0.2">
      <c r="A7">
        <v>2018</v>
      </c>
      <c r="B7">
        <v>1</v>
      </c>
      <c r="C7" t="s">
        <v>55</v>
      </c>
      <c r="D7" t="s">
        <v>60</v>
      </c>
      <c r="E7" t="s">
        <v>63</v>
      </c>
      <c r="F7" s="14">
        <v>22710110</v>
      </c>
      <c r="G7" s="14">
        <v>13358879</v>
      </c>
      <c r="H7">
        <f t="shared" si="0"/>
        <v>0</v>
      </c>
      <c r="I7" s="20">
        <f t="shared" si="1"/>
        <v>43101</v>
      </c>
    </row>
    <row r="8" spans="1:9" x14ac:dyDescent="0.2">
      <c r="A8">
        <v>2018</v>
      </c>
      <c r="B8">
        <v>1</v>
      </c>
      <c r="C8" t="s">
        <v>64</v>
      </c>
      <c r="D8" t="s">
        <v>60</v>
      </c>
      <c r="E8" t="s">
        <v>61</v>
      </c>
      <c r="F8" s="14">
        <v>16044167</v>
      </c>
      <c r="G8" s="14">
        <v>10696089</v>
      </c>
      <c r="H8">
        <f t="shared" si="0"/>
        <v>0</v>
      </c>
      <c r="I8" s="20">
        <f t="shared" si="1"/>
        <v>43101</v>
      </c>
    </row>
    <row r="9" spans="1:9" x14ac:dyDescent="0.2">
      <c r="A9">
        <v>2018</v>
      </c>
      <c r="B9">
        <v>1</v>
      </c>
      <c r="C9" t="s">
        <v>55</v>
      </c>
      <c r="D9" t="s">
        <v>60</v>
      </c>
      <c r="E9" t="s">
        <v>65</v>
      </c>
      <c r="F9" s="14">
        <v>223543</v>
      </c>
      <c r="G9" s="14">
        <v>139714</v>
      </c>
      <c r="H9">
        <f t="shared" si="0"/>
        <v>1</v>
      </c>
      <c r="I9" s="20">
        <f t="shared" si="1"/>
        <v>43101</v>
      </c>
    </row>
    <row r="10" spans="1:9" x14ac:dyDescent="0.2">
      <c r="A10">
        <v>2018</v>
      </c>
      <c r="B10">
        <v>1</v>
      </c>
      <c r="C10" t="s">
        <v>55</v>
      </c>
      <c r="D10" t="s">
        <v>66</v>
      </c>
      <c r="E10" t="s">
        <v>67</v>
      </c>
      <c r="F10" s="14">
        <v>2631674</v>
      </c>
      <c r="G10" s="14">
        <v>1754449</v>
      </c>
      <c r="H10">
        <f t="shared" si="0"/>
        <v>0</v>
      </c>
      <c r="I10" s="20">
        <f t="shared" si="1"/>
        <v>43101</v>
      </c>
    </row>
    <row r="11" spans="1:9" x14ac:dyDescent="0.2">
      <c r="A11">
        <v>2018</v>
      </c>
      <c r="B11">
        <v>1</v>
      </c>
      <c r="C11" t="s">
        <v>55</v>
      </c>
      <c r="D11" t="s">
        <v>66</v>
      </c>
      <c r="E11" t="s">
        <v>68</v>
      </c>
      <c r="F11" s="14">
        <v>2191637</v>
      </c>
      <c r="G11" s="14">
        <v>2191637</v>
      </c>
      <c r="H11">
        <f t="shared" si="0"/>
        <v>0</v>
      </c>
      <c r="I11" s="20">
        <f t="shared" si="1"/>
        <v>43101</v>
      </c>
    </row>
    <row r="12" spans="1:9" x14ac:dyDescent="0.2">
      <c r="A12">
        <v>2018</v>
      </c>
      <c r="B12">
        <v>1</v>
      </c>
      <c r="C12" t="s">
        <v>55</v>
      </c>
      <c r="D12" t="s">
        <v>66</v>
      </c>
      <c r="E12" t="s">
        <v>63</v>
      </c>
      <c r="F12" s="14">
        <v>547014</v>
      </c>
      <c r="G12" s="14">
        <v>321773</v>
      </c>
      <c r="H12">
        <f t="shared" si="0"/>
        <v>0</v>
      </c>
      <c r="I12" s="20">
        <f t="shared" si="1"/>
        <v>43101</v>
      </c>
    </row>
    <row r="13" spans="1:9" x14ac:dyDescent="0.2">
      <c r="A13">
        <v>2018</v>
      </c>
      <c r="B13">
        <v>1</v>
      </c>
      <c r="C13" t="s">
        <v>55</v>
      </c>
      <c r="D13" t="s">
        <v>66</v>
      </c>
      <c r="E13" t="s">
        <v>69</v>
      </c>
      <c r="F13" s="14">
        <v>422563</v>
      </c>
      <c r="G13" s="14">
        <v>264103</v>
      </c>
      <c r="H13">
        <f t="shared" si="0"/>
        <v>0</v>
      </c>
      <c r="I13" s="20">
        <f t="shared" si="1"/>
        <v>43101</v>
      </c>
    </row>
    <row r="14" spans="1:9" x14ac:dyDescent="0.2">
      <c r="A14">
        <v>2018</v>
      </c>
      <c r="B14">
        <v>1</v>
      </c>
      <c r="C14" t="s">
        <v>55</v>
      </c>
      <c r="D14" t="s">
        <v>70</v>
      </c>
      <c r="E14" t="s">
        <v>68</v>
      </c>
      <c r="F14" s="14">
        <v>1255494453</v>
      </c>
      <c r="G14" s="14">
        <v>1255494453</v>
      </c>
      <c r="H14">
        <f t="shared" si="0"/>
        <v>0</v>
      </c>
      <c r="I14" s="20">
        <f t="shared" si="1"/>
        <v>43101</v>
      </c>
    </row>
    <row r="15" spans="1:9" x14ac:dyDescent="0.2">
      <c r="A15">
        <v>2018</v>
      </c>
      <c r="B15">
        <v>1</v>
      </c>
      <c r="C15" t="s">
        <v>62</v>
      </c>
      <c r="D15" t="s">
        <v>70</v>
      </c>
      <c r="E15" t="s">
        <v>63</v>
      </c>
      <c r="F15" s="14">
        <v>27381059</v>
      </c>
      <c r="G15" s="14">
        <v>16106505</v>
      </c>
      <c r="H15">
        <f t="shared" si="0"/>
        <v>0</v>
      </c>
      <c r="I15" s="20">
        <f t="shared" si="1"/>
        <v>43101</v>
      </c>
    </row>
    <row r="16" spans="1:9" x14ac:dyDescent="0.2">
      <c r="A16">
        <v>2018</v>
      </c>
      <c r="B16">
        <v>1</v>
      </c>
      <c r="C16" t="s">
        <v>64</v>
      </c>
      <c r="D16" t="s">
        <v>70</v>
      </c>
      <c r="E16" t="s">
        <v>68</v>
      </c>
      <c r="F16" s="14">
        <v>1013263</v>
      </c>
      <c r="G16" s="14">
        <v>1013263</v>
      </c>
      <c r="H16">
        <f t="shared" si="0"/>
        <v>0</v>
      </c>
      <c r="I16" s="20">
        <f t="shared" si="1"/>
        <v>43101</v>
      </c>
    </row>
    <row r="17" spans="1:9" x14ac:dyDescent="0.2">
      <c r="A17">
        <v>2018</v>
      </c>
      <c r="B17">
        <v>1</v>
      </c>
      <c r="C17" t="s">
        <v>64</v>
      </c>
      <c r="D17" t="s">
        <v>71</v>
      </c>
      <c r="E17" t="s">
        <v>72</v>
      </c>
      <c r="F17" s="14">
        <v>49276</v>
      </c>
      <c r="G17" s="14">
        <v>49276</v>
      </c>
      <c r="H17">
        <f t="shared" si="0"/>
        <v>0</v>
      </c>
      <c r="I17" s="20">
        <f t="shared" si="1"/>
        <v>43101</v>
      </c>
    </row>
    <row r="18" spans="1:9" x14ac:dyDescent="0.2">
      <c r="A18">
        <v>2018</v>
      </c>
      <c r="B18">
        <v>2</v>
      </c>
      <c r="C18" t="s">
        <v>55</v>
      </c>
      <c r="D18" t="s">
        <v>56</v>
      </c>
      <c r="E18" t="s">
        <v>59</v>
      </c>
      <c r="F18" s="14">
        <v>12807199</v>
      </c>
      <c r="G18" s="14">
        <v>12807199</v>
      </c>
      <c r="H18">
        <f t="shared" si="0"/>
        <v>0</v>
      </c>
      <c r="I18" s="20">
        <f t="shared" si="1"/>
        <v>43132</v>
      </c>
    </row>
    <row r="19" spans="1:9" x14ac:dyDescent="0.2">
      <c r="A19">
        <v>2018</v>
      </c>
      <c r="B19">
        <v>2</v>
      </c>
      <c r="C19" t="s">
        <v>55</v>
      </c>
      <c r="D19" t="s">
        <v>56</v>
      </c>
      <c r="E19" t="s">
        <v>58</v>
      </c>
      <c r="F19" s="14">
        <v>4089552</v>
      </c>
      <c r="G19" s="14">
        <v>4089552</v>
      </c>
      <c r="H19">
        <f t="shared" si="0"/>
        <v>0</v>
      </c>
      <c r="I19" s="20">
        <f t="shared" si="1"/>
        <v>43132</v>
      </c>
    </row>
    <row r="20" spans="1:9" x14ac:dyDescent="0.2">
      <c r="A20">
        <v>2018</v>
      </c>
      <c r="B20">
        <v>2</v>
      </c>
      <c r="C20" t="s">
        <v>64</v>
      </c>
      <c r="D20" t="s">
        <v>56</v>
      </c>
      <c r="E20" t="s">
        <v>58</v>
      </c>
      <c r="F20" s="14">
        <v>2095277</v>
      </c>
      <c r="G20" s="14">
        <v>2095277</v>
      </c>
      <c r="H20">
        <f t="shared" si="0"/>
        <v>0</v>
      </c>
      <c r="I20" s="20">
        <f t="shared" si="1"/>
        <v>43132</v>
      </c>
    </row>
    <row r="21" spans="1:9" x14ac:dyDescent="0.2">
      <c r="A21">
        <v>2018</v>
      </c>
      <c r="B21">
        <v>2</v>
      </c>
      <c r="C21" t="s">
        <v>64</v>
      </c>
      <c r="D21" t="s">
        <v>56</v>
      </c>
      <c r="E21" t="s">
        <v>59</v>
      </c>
      <c r="F21" s="14">
        <v>860031</v>
      </c>
      <c r="G21" s="14">
        <v>860031</v>
      </c>
      <c r="H21">
        <f t="shared" si="0"/>
        <v>0</v>
      </c>
      <c r="I21" s="20">
        <f t="shared" si="1"/>
        <v>43132</v>
      </c>
    </row>
    <row r="22" spans="1:9" x14ac:dyDescent="0.2">
      <c r="A22">
        <v>2018</v>
      </c>
      <c r="B22">
        <v>2</v>
      </c>
      <c r="C22" t="s">
        <v>55</v>
      </c>
      <c r="D22" t="s">
        <v>56</v>
      </c>
      <c r="E22" t="s">
        <v>57</v>
      </c>
      <c r="F22" s="14">
        <v>521507</v>
      </c>
      <c r="G22" s="14">
        <v>521507</v>
      </c>
      <c r="H22">
        <f t="shared" si="0"/>
        <v>0</v>
      </c>
      <c r="I22" s="20">
        <f t="shared" si="1"/>
        <v>43132</v>
      </c>
    </row>
    <row r="23" spans="1:9" x14ac:dyDescent="0.2">
      <c r="A23">
        <v>2018</v>
      </c>
      <c r="B23">
        <v>2</v>
      </c>
      <c r="C23" t="s">
        <v>55</v>
      </c>
      <c r="D23" t="s">
        <v>60</v>
      </c>
      <c r="E23" t="s">
        <v>61</v>
      </c>
      <c r="F23" s="14">
        <v>173306511</v>
      </c>
      <c r="G23" s="14">
        <v>115536272</v>
      </c>
      <c r="H23">
        <f t="shared" si="0"/>
        <v>0</v>
      </c>
      <c r="I23" s="20">
        <f t="shared" si="1"/>
        <v>43132</v>
      </c>
    </row>
    <row r="24" spans="1:9" x14ac:dyDescent="0.2">
      <c r="A24">
        <v>2018</v>
      </c>
      <c r="B24">
        <v>2</v>
      </c>
      <c r="C24" t="s">
        <v>55</v>
      </c>
      <c r="D24" t="s">
        <v>60</v>
      </c>
      <c r="E24" t="s">
        <v>63</v>
      </c>
      <c r="F24" s="14">
        <v>34279817</v>
      </c>
      <c r="G24" s="14">
        <v>20164577</v>
      </c>
      <c r="H24">
        <f t="shared" si="0"/>
        <v>0</v>
      </c>
      <c r="I24" s="20">
        <f t="shared" si="1"/>
        <v>43132</v>
      </c>
    </row>
    <row r="25" spans="1:9" x14ac:dyDescent="0.2">
      <c r="A25">
        <v>2018</v>
      </c>
      <c r="B25">
        <v>2</v>
      </c>
      <c r="C25" t="s">
        <v>62</v>
      </c>
      <c r="D25" t="s">
        <v>60</v>
      </c>
      <c r="E25" t="s">
        <v>63</v>
      </c>
      <c r="F25" s="14">
        <v>20961075</v>
      </c>
      <c r="G25" s="14">
        <v>12330044</v>
      </c>
      <c r="H25">
        <f t="shared" si="0"/>
        <v>0</v>
      </c>
      <c r="I25" s="20">
        <f t="shared" si="1"/>
        <v>43132</v>
      </c>
    </row>
    <row r="26" spans="1:9" x14ac:dyDescent="0.2">
      <c r="A26">
        <v>2018</v>
      </c>
      <c r="B26">
        <v>2</v>
      </c>
      <c r="C26" t="s">
        <v>64</v>
      </c>
      <c r="D26" t="s">
        <v>60</v>
      </c>
      <c r="E26" t="s">
        <v>61</v>
      </c>
      <c r="F26" s="14">
        <v>17377056</v>
      </c>
      <c r="G26" s="14">
        <v>11584681</v>
      </c>
      <c r="H26">
        <f t="shared" si="0"/>
        <v>0</v>
      </c>
      <c r="I26" s="20">
        <f t="shared" si="1"/>
        <v>43132</v>
      </c>
    </row>
    <row r="27" spans="1:9" x14ac:dyDescent="0.2">
      <c r="A27">
        <v>2018</v>
      </c>
      <c r="B27">
        <v>2</v>
      </c>
      <c r="C27" t="s">
        <v>55</v>
      </c>
      <c r="D27" t="s">
        <v>60</v>
      </c>
      <c r="E27" t="s">
        <v>65</v>
      </c>
      <c r="F27" s="14">
        <v>380794</v>
      </c>
      <c r="G27" s="14">
        <v>237996</v>
      </c>
      <c r="H27">
        <f t="shared" si="0"/>
        <v>1</v>
      </c>
      <c r="I27" s="20">
        <f t="shared" si="1"/>
        <v>43132</v>
      </c>
    </row>
    <row r="28" spans="1:9" x14ac:dyDescent="0.2">
      <c r="A28">
        <v>2018</v>
      </c>
      <c r="B28">
        <v>2</v>
      </c>
      <c r="C28" t="s">
        <v>55</v>
      </c>
      <c r="D28" t="s">
        <v>66</v>
      </c>
      <c r="E28" t="s">
        <v>67</v>
      </c>
      <c r="F28" s="14">
        <v>2926949</v>
      </c>
      <c r="G28" s="14">
        <v>1951298</v>
      </c>
      <c r="H28">
        <f t="shared" si="0"/>
        <v>0</v>
      </c>
      <c r="I28" s="20">
        <f t="shared" si="1"/>
        <v>43132</v>
      </c>
    </row>
    <row r="29" spans="1:9" x14ac:dyDescent="0.2">
      <c r="A29">
        <v>2018</v>
      </c>
      <c r="B29">
        <v>2</v>
      </c>
      <c r="C29" t="s">
        <v>55</v>
      </c>
      <c r="D29" t="s">
        <v>66</v>
      </c>
      <c r="E29" t="s">
        <v>63</v>
      </c>
      <c r="F29" s="14">
        <v>2448400</v>
      </c>
      <c r="G29" s="14">
        <v>1440235</v>
      </c>
      <c r="H29">
        <f t="shared" si="0"/>
        <v>0</v>
      </c>
      <c r="I29" s="20">
        <f t="shared" si="1"/>
        <v>43132</v>
      </c>
    </row>
    <row r="30" spans="1:9" x14ac:dyDescent="0.2">
      <c r="A30">
        <v>2018</v>
      </c>
      <c r="B30">
        <v>2</v>
      </c>
      <c r="C30" t="s">
        <v>55</v>
      </c>
      <c r="D30" t="s">
        <v>66</v>
      </c>
      <c r="E30" t="s">
        <v>68</v>
      </c>
      <c r="F30" s="14">
        <v>1746856</v>
      </c>
      <c r="G30" s="14">
        <v>1746856</v>
      </c>
      <c r="H30">
        <f t="shared" si="0"/>
        <v>0</v>
      </c>
      <c r="I30" s="20">
        <f t="shared" si="1"/>
        <v>43132</v>
      </c>
    </row>
    <row r="31" spans="1:9" x14ac:dyDescent="0.2">
      <c r="A31">
        <v>2018</v>
      </c>
      <c r="B31">
        <v>2</v>
      </c>
      <c r="C31" t="s">
        <v>55</v>
      </c>
      <c r="D31" t="s">
        <v>66</v>
      </c>
      <c r="E31" t="s">
        <v>69</v>
      </c>
      <c r="F31" s="14">
        <v>389857</v>
      </c>
      <c r="G31" s="14">
        <v>243659</v>
      </c>
      <c r="H31">
        <f t="shared" si="0"/>
        <v>0</v>
      </c>
      <c r="I31" s="20">
        <f t="shared" si="1"/>
        <v>43132</v>
      </c>
    </row>
    <row r="32" spans="1:9" x14ac:dyDescent="0.2">
      <c r="A32">
        <v>2018</v>
      </c>
      <c r="B32">
        <v>2</v>
      </c>
      <c r="C32" t="s">
        <v>55</v>
      </c>
      <c r="D32" t="s">
        <v>66</v>
      </c>
      <c r="E32" t="s">
        <v>59</v>
      </c>
      <c r="F32" s="14">
        <v>54262</v>
      </c>
      <c r="G32" s="14">
        <v>54262</v>
      </c>
      <c r="H32">
        <f t="shared" si="0"/>
        <v>0</v>
      </c>
      <c r="I32" s="20">
        <f t="shared" si="1"/>
        <v>43132</v>
      </c>
    </row>
    <row r="33" spans="1:9" x14ac:dyDescent="0.2">
      <c r="A33">
        <v>2018</v>
      </c>
      <c r="B33">
        <v>2</v>
      </c>
      <c r="C33" t="s">
        <v>55</v>
      </c>
      <c r="D33" t="s">
        <v>70</v>
      </c>
      <c r="E33" t="s">
        <v>68</v>
      </c>
      <c r="F33" s="14">
        <v>1098731054</v>
      </c>
      <c r="G33" s="14">
        <v>1098731054</v>
      </c>
      <c r="H33">
        <f t="shared" si="0"/>
        <v>0</v>
      </c>
      <c r="I33" s="20">
        <f t="shared" si="1"/>
        <v>43132</v>
      </c>
    </row>
    <row r="34" spans="1:9" x14ac:dyDescent="0.2">
      <c r="A34">
        <v>2018</v>
      </c>
      <c r="B34">
        <v>2</v>
      </c>
      <c r="C34" t="s">
        <v>62</v>
      </c>
      <c r="D34" t="s">
        <v>70</v>
      </c>
      <c r="E34" t="s">
        <v>63</v>
      </c>
      <c r="F34" s="14">
        <v>27142177</v>
      </c>
      <c r="G34" s="14">
        <v>15965986</v>
      </c>
      <c r="H34">
        <f t="shared" si="0"/>
        <v>0</v>
      </c>
      <c r="I34" s="20">
        <f t="shared" si="1"/>
        <v>43132</v>
      </c>
    </row>
    <row r="35" spans="1:9" x14ac:dyDescent="0.2">
      <c r="A35">
        <v>2018</v>
      </c>
      <c r="B35">
        <v>2</v>
      </c>
      <c r="C35" t="s">
        <v>64</v>
      </c>
      <c r="D35" t="s">
        <v>70</v>
      </c>
      <c r="E35" t="s">
        <v>68</v>
      </c>
      <c r="F35" s="14">
        <v>917632</v>
      </c>
      <c r="G35" s="14">
        <v>917632</v>
      </c>
      <c r="H35">
        <f t="shared" si="0"/>
        <v>0</v>
      </c>
      <c r="I35" s="20">
        <f t="shared" si="1"/>
        <v>43132</v>
      </c>
    </row>
    <row r="36" spans="1:9" x14ac:dyDescent="0.2">
      <c r="A36">
        <v>2018</v>
      </c>
      <c r="B36">
        <v>3</v>
      </c>
      <c r="C36" t="s">
        <v>55</v>
      </c>
      <c r="D36" t="s">
        <v>56</v>
      </c>
      <c r="E36" t="s">
        <v>59</v>
      </c>
      <c r="F36" s="14">
        <v>11493874</v>
      </c>
      <c r="G36" s="14">
        <v>11493874</v>
      </c>
      <c r="H36">
        <f t="shared" si="0"/>
        <v>0</v>
      </c>
      <c r="I36" s="20">
        <f t="shared" si="1"/>
        <v>43160</v>
      </c>
    </row>
    <row r="37" spans="1:9" x14ac:dyDescent="0.2">
      <c r="A37">
        <v>2018</v>
      </c>
      <c r="B37">
        <v>3</v>
      </c>
      <c r="C37" t="s">
        <v>55</v>
      </c>
      <c r="D37" t="s">
        <v>56</v>
      </c>
      <c r="E37" t="s">
        <v>58</v>
      </c>
      <c r="F37" s="14">
        <v>3892294</v>
      </c>
      <c r="G37" s="14">
        <v>3892294</v>
      </c>
      <c r="H37">
        <f t="shared" si="0"/>
        <v>0</v>
      </c>
      <c r="I37" s="20">
        <f t="shared" si="1"/>
        <v>43160</v>
      </c>
    </row>
    <row r="38" spans="1:9" x14ac:dyDescent="0.2">
      <c r="A38">
        <v>2018</v>
      </c>
      <c r="B38">
        <v>3</v>
      </c>
      <c r="C38" t="s">
        <v>64</v>
      </c>
      <c r="D38" t="s">
        <v>56</v>
      </c>
      <c r="E38" t="s">
        <v>58</v>
      </c>
      <c r="F38" s="14">
        <v>1933792</v>
      </c>
      <c r="G38" s="14">
        <v>1933792</v>
      </c>
      <c r="H38">
        <f t="shared" si="0"/>
        <v>0</v>
      </c>
      <c r="I38" s="20">
        <f t="shared" si="1"/>
        <v>43160</v>
      </c>
    </row>
    <row r="39" spans="1:9" x14ac:dyDescent="0.2">
      <c r="A39">
        <v>2018</v>
      </c>
      <c r="B39">
        <v>3</v>
      </c>
      <c r="C39" t="s">
        <v>64</v>
      </c>
      <c r="D39" t="s">
        <v>56</v>
      </c>
      <c r="E39" t="s">
        <v>57</v>
      </c>
      <c r="F39" s="14">
        <v>1616594</v>
      </c>
      <c r="G39" s="14">
        <v>1616594</v>
      </c>
      <c r="H39">
        <f t="shared" si="0"/>
        <v>0</v>
      </c>
      <c r="I39" s="20">
        <f t="shared" si="1"/>
        <v>43160</v>
      </c>
    </row>
    <row r="40" spans="1:9" x14ac:dyDescent="0.2">
      <c r="A40">
        <v>2018</v>
      </c>
      <c r="B40">
        <v>3</v>
      </c>
      <c r="C40" t="s">
        <v>64</v>
      </c>
      <c r="D40" t="s">
        <v>56</v>
      </c>
      <c r="E40" t="s">
        <v>59</v>
      </c>
      <c r="F40" s="14">
        <v>741867</v>
      </c>
      <c r="G40" s="14">
        <v>741867</v>
      </c>
      <c r="H40">
        <f t="shared" si="0"/>
        <v>0</v>
      </c>
      <c r="I40" s="20">
        <f t="shared" si="1"/>
        <v>43160</v>
      </c>
    </row>
    <row r="41" spans="1:9" x14ac:dyDescent="0.2">
      <c r="A41">
        <v>2018</v>
      </c>
      <c r="B41">
        <v>3</v>
      </c>
      <c r="C41" t="s">
        <v>55</v>
      </c>
      <c r="D41" t="s">
        <v>56</v>
      </c>
      <c r="E41" t="s">
        <v>57</v>
      </c>
      <c r="F41" s="14">
        <v>721305</v>
      </c>
      <c r="G41" s="14">
        <v>721305</v>
      </c>
      <c r="H41">
        <f t="shared" si="0"/>
        <v>0</v>
      </c>
      <c r="I41" s="20">
        <f t="shared" si="1"/>
        <v>43160</v>
      </c>
    </row>
    <row r="42" spans="1:9" x14ac:dyDescent="0.2">
      <c r="A42">
        <v>2018</v>
      </c>
      <c r="B42">
        <v>3</v>
      </c>
      <c r="C42" t="s">
        <v>55</v>
      </c>
      <c r="D42" t="s">
        <v>60</v>
      </c>
      <c r="E42" t="s">
        <v>61</v>
      </c>
      <c r="F42" s="14">
        <v>217794664</v>
      </c>
      <c r="G42" s="14">
        <v>145194734</v>
      </c>
      <c r="H42">
        <f t="shared" si="0"/>
        <v>0</v>
      </c>
      <c r="I42" s="20">
        <f t="shared" si="1"/>
        <v>43160</v>
      </c>
    </row>
    <row r="43" spans="1:9" x14ac:dyDescent="0.2">
      <c r="A43">
        <v>2018</v>
      </c>
      <c r="B43">
        <v>3</v>
      </c>
      <c r="C43" t="s">
        <v>55</v>
      </c>
      <c r="D43" t="s">
        <v>60</v>
      </c>
      <c r="E43" t="s">
        <v>63</v>
      </c>
      <c r="F43" s="14">
        <v>38753250</v>
      </c>
      <c r="G43" s="14">
        <v>22796002</v>
      </c>
      <c r="H43">
        <f t="shared" si="0"/>
        <v>0</v>
      </c>
      <c r="I43" s="20">
        <f t="shared" si="1"/>
        <v>43160</v>
      </c>
    </row>
    <row r="44" spans="1:9" x14ac:dyDescent="0.2">
      <c r="A44">
        <v>2018</v>
      </c>
      <c r="B44">
        <v>3</v>
      </c>
      <c r="C44" t="s">
        <v>62</v>
      </c>
      <c r="D44" t="s">
        <v>60</v>
      </c>
      <c r="E44" t="s">
        <v>63</v>
      </c>
      <c r="F44" s="14">
        <v>29481692</v>
      </c>
      <c r="G44" s="14">
        <v>17342172</v>
      </c>
      <c r="H44">
        <f t="shared" si="0"/>
        <v>0</v>
      </c>
      <c r="I44" s="20">
        <f t="shared" si="1"/>
        <v>43160</v>
      </c>
    </row>
    <row r="45" spans="1:9" x14ac:dyDescent="0.2">
      <c r="A45">
        <v>2018</v>
      </c>
      <c r="B45">
        <v>3</v>
      </c>
      <c r="C45" t="s">
        <v>64</v>
      </c>
      <c r="D45" t="s">
        <v>60</v>
      </c>
      <c r="E45" t="s">
        <v>61</v>
      </c>
      <c r="F45" s="14">
        <v>23465349</v>
      </c>
      <c r="G45" s="14">
        <v>15643523</v>
      </c>
      <c r="H45">
        <f t="shared" si="0"/>
        <v>0</v>
      </c>
      <c r="I45" s="20">
        <f t="shared" si="1"/>
        <v>43160</v>
      </c>
    </row>
    <row r="46" spans="1:9" x14ac:dyDescent="0.2">
      <c r="A46">
        <v>2018</v>
      </c>
      <c r="B46">
        <v>3</v>
      </c>
      <c r="C46" t="s">
        <v>55</v>
      </c>
      <c r="D46" t="s">
        <v>60</v>
      </c>
      <c r="E46" t="s">
        <v>65</v>
      </c>
      <c r="F46" s="14">
        <v>166064</v>
      </c>
      <c r="G46" s="14">
        <v>103790</v>
      </c>
      <c r="H46">
        <f t="shared" si="0"/>
        <v>1</v>
      </c>
      <c r="I46" s="20">
        <f t="shared" si="1"/>
        <v>43160</v>
      </c>
    </row>
    <row r="47" spans="1:9" x14ac:dyDescent="0.2">
      <c r="A47">
        <v>2018</v>
      </c>
      <c r="B47">
        <v>3</v>
      </c>
      <c r="C47" t="s">
        <v>55</v>
      </c>
      <c r="D47" t="s">
        <v>66</v>
      </c>
      <c r="E47" t="s">
        <v>63</v>
      </c>
      <c r="F47" s="14">
        <v>3862361</v>
      </c>
      <c r="G47" s="14">
        <v>2271977</v>
      </c>
      <c r="H47">
        <f t="shared" si="0"/>
        <v>0</v>
      </c>
      <c r="I47" s="20">
        <f t="shared" si="1"/>
        <v>43160</v>
      </c>
    </row>
    <row r="48" spans="1:9" x14ac:dyDescent="0.2">
      <c r="A48">
        <v>2018</v>
      </c>
      <c r="B48">
        <v>3</v>
      </c>
      <c r="C48" t="s">
        <v>55</v>
      </c>
      <c r="D48" t="s">
        <v>66</v>
      </c>
      <c r="E48" t="s">
        <v>67</v>
      </c>
      <c r="F48" s="14">
        <v>3561886</v>
      </c>
      <c r="G48" s="14">
        <v>2374590</v>
      </c>
      <c r="H48">
        <f t="shared" si="0"/>
        <v>0</v>
      </c>
      <c r="I48" s="20">
        <f t="shared" si="1"/>
        <v>43160</v>
      </c>
    </row>
    <row r="49" spans="1:9" x14ac:dyDescent="0.2">
      <c r="A49">
        <v>2018</v>
      </c>
      <c r="B49">
        <v>3</v>
      </c>
      <c r="C49" t="s">
        <v>55</v>
      </c>
      <c r="D49" t="s">
        <v>66</v>
      </c>
      <c r="E49" t="s">
        <v>68</v>
      </c>
      <c r="F49" s="14">
        <v>2029616</v>
      </c>
      <c r="G49" s="14">
        <v>2029616</v>
      </c>
      <c r="H49">
        <f t="shared" si="0"/>
        <v>0</v>
      </c>
      <c r="I49" s="20">
        <f t="shared" si="1"/>
        <v>43160</v>
      </c>
    </row>
    <row r="50" spans="1:9" x14ac:dyDescent="0.2">
      <c r="A50">
        <v>2018</v>
      </c>
      <c r="B50">
        <v>3</v>
      </c>
      <c r="C50" t="s">
        <v>55</v>
      </c>
      <c r="D50" t="s">
        <v>66</v>
      </c>
      <c r="E50" t="s">
        <v>69</v>
      </c>
      <c r="F50" s="14">
        <v>396802</v>
      </c>
      <c r="G50" s="14">
        <v>248001</v>
      </c>
      <c r="H50">
        <f t="shared" si="0"/>
        <v>0</v>
      </c>
      <c r="I50" s="20">
        <f t="shared" si="1"/>
        <v>43160</v>
      </c>
    </row>
    <row r="51" spans="1:9" x14ac:dyDescent="0.2">
      <c r="A51">
        <v>2018</v>
      </c>
      <c r="B51">
        <v>3</v>
      </c>
      <c r="C51" t="s">
        <v>55</v>
      </c>
      <c r="D51" t="s">
        <v>66</v>
      </c>
      <c r="E51" t="s">
        <v>59</v>
      </c>
      <c r="F51" s="14">
        <v>69321</v>
      </c>
      <c r="G51" s="14">
        <v>69321</v>
      </c>
      <c r="H51">
        <f t="shared" si="0"/>
        <v>0</v>
      </c>
      <c r="I51" s="20">
        <f t="shared" si="1"/>
        <v>43160</v>
      </c>
    </row>
    <row r="52" spans="1:9" x14ac:dyDescent="0.2">
      <c r="A52">
        <v>2018</v>
      </c>
      <c r="B52">
        <v>3</v>
      </c>
      <c r="C52" t="s">
        <v>55</v>
      </c>
      <c r="D52" t="s">
        <v>70</v>
      </c>
      <c r="E52" t="s">
        <v>68</v>
      </c>
      <c r="F52" s="14">
        <v>1221028438</v>
      </c>
      <c r="G52" s="14">
        <v>1221028438</v>
      </c>
      <c r="H52">
        <f t="shared" si="0"/>
        <v>0</v>
      </c>
      <c r="I52" s="20">
        <f t="shared" si="1"/>
        <v>43160</v>
      </c>
    </row>
    <row r="53" spans="1:9" x14ac:dyDescent="0.2">
      <c r="A53">
        <v>2018</v>
      </c>
      <c r="B53">
        <v>3</v>
      </c>
      <c r="C53" t="s">
        <v>62</v>
      </c>
      <c r="D53" t="s">
        <v>70</v>
      </c>
      <c r="E53" t="s">
        <v>63</v>
      </c>
      <c r="F53" s="14">
        <v>18875866</v>
      </c>
      <c r="G53" s="14">
        <v>11103450</v>
      </c>
      <c r="H53">
        <f t="shared" si="0"/>
        <v>0</v>
      </c>
      <c r="I53" s="20">
        <f t="shared" si="1"/>
        <v>43160</v>
      </c>
    </row>
    <row r="54" spans="1:9" x14ac:dyDescent="0.2">
      <c r="A54">
        <v>2018</v>
      </c>
      <c r="B54">
        <v>3</v>
      </c>
      <c r="C54" t="s">
        <v>64</v>
      </c>
      <c r="D54" t="s">
        <v>70</v>
      </c>
      <c r="E54" t="s">
        <v>68</v>
      </c>
      <c r="F54" s="14">
        <v>1012419</v>
      </c>
      <c r="G54" s="14">
        <v>1012419</v>
      </c>
      <c r="H54">
        <f t="shared" si="0"/>
        <v>0</v>
      </c>
      <c r="I54" s="20">
        <f t="shared" si="1"/>
        <v>43160</v>
      </c>
    </row>
    <row r="55" spans="1:9" x14ac:dyDescent="0.2">
      <c r="A55">
        <v>2018</v>
      </c>
      <c r="B55">
        <v>3</v>
      </c>
      <c r="C55" t="s">
        <v>64</v>
      </c>
      <c r="D55" t="s">
        <v>71</v>
      </c>
      <c r="E55" t="s">
        <v>72</v>
      </c>
      <c r="F55" s="14">
        <v>592070</v>
      </c>
      <c r="G55" s="14">
        <v>592070</v>
      </c>
      <c r="H55">
        <f t="shared" si="0"/>
        <v>0</v>
      </c>
      <c r="I55" s="20">
        <f t="shared" si="1"/>
        <v>43160</v>
      </c>
    </row>
    <row r="56" spans="1:9" x14ac:dyDescent="0.2">
      <c r="A56">
        <v>2018</v>
      </c>
      <c r="B56">
        <v>3</v>
      </c>
      <c r="C56" t="s">
        <v>55</v>
      </c>
      <c r="D56" t="s">
        <v>71</v>
      </c>
      <c r="E56" t="s">
        <v>73</v>
      </c>
      <c r="F56" s="14">
        <v>7296</v>
      </c>
      <c r="G56" s="14">
        <v>4291</v>
      </c>
      <c r="H56">
        <f t="shared" si="0"/>
        <v>0</v>
      </c>
      <c r="I56" s="20">
        <f t="shared" si="1"/>
        <v>43160</v>
      </c>
    </row>
    <row r="57" spans="1:9" x14ac:dyDescent="0.2">
      <c r="A57">
        <v>2018</v>
      </c>
      <c r="B57">
        <v>4</v>
      </c>
      <c r="C57" t="s">
        <v>55</v>
      </c>
      <c r="D57" t="s">
        <v>56</v>
      </c>
      <c r="E57" t="s">
        <v>59</v>
      </c>
      <c r="F57" s="14">
        <v>12875336</v>
      </c>
      <c r="G57" s="14">
        <v>12875336</v>
      </c>
      <c r="H57">
        <f t="shared" si="0"/>
        <v>0</v>
      </c>
      <c r="I57" s="20">
        <f t="shared" si="1"/>
        <v>43191</v>
      </c>
    </row>
    <row r="58" spans="1:9" x14ac:dyDescent="0.2">
      <c r="A58">
        <v>2018</v>
      </c>
      <c r="B58">
        <v>4</v>
      </c>
      <c r="C58" t="s">
        <v>55</v>
      </c>
      <c r="D58" t="s">
        <v>56</v>
      </c>
      <c r="E58" t="s">
        <v>58</v>
      </c>
      <c r="F58" s="14">
        <v>3862235</v>
      </c>
      <c r="G58" s="14">
        <v>3862235</v>
      </c>
      <c r="H58">
        <f t="shared" si="0"/>
        <v>0</v>
      </c>
      <c r="I58" s="20">
        <f t="shared" si="1"/>
        <v>43191</v>
      </c>
    </row>
    <row r="59" spans="1:9" x14ac:dyDescent="0.2">
      <c r="A59">
        <v>2018</v>
      </c>
      <c r="B59">
        <v>4</v>
      </c>
      <c r="C59" t="s">
        <v>64</v>
      </c>
      <c r="D59" t="s">
        <v>56</v>
      </c>
      <c r="E59" t="s">
        <v>58</v>
      </c>
      <c r="F59" s="14">
        <v>2095347</v>
      </c>
      <c r="G59" s="14">
        <v>2095347</v>
      </c>
      <c r="H59">
        <f t="shared" si="0"/>
        <v>0</v>
      </c>
      <c r="I59" s="20">
        <f t="shared" si="1"/>
        <v>43191</v>
      </c>
    </row>
    <row r="60" spans="1:9" x14ac:dyDescent="0.2">
      <c r="A60">
        <v>2018</v>
      </c>
      <c r="B60">
        <v>4</v>
      </c>
      <c r="C60" t="s">
        <v>64</v>
      </c>
      <c r="D60" t="s">
        <v>56</v>
      </c>
      <c r="E60" t="s">
        <v>59</v>
      </c>
      <c r="F60" s="14">
        <v>961472</v>
      </c>
      <c r="G60" s="14">
        <v>961472</v>
      </c>
      <c r="H60">
        <f t="shared" si="0"/>
        <v>0</v>
      </c>
      <c r="I60" s="20">
        <f t="shared" si="1"/>
        <v>43191</v>
      </c>
    </row>
    <row r="61" spans="1:9" x14ac:dyDescent="0.2">
      <c r="A61">
        <v>2018</v>
      </c>
      <c r="B61">
        <v>4</v>
      </c>
      <c r="C61" t="s">
        <v>55</v>
      </c>
      <c r="D61" t="s">
        <v>56</v>
      </c>
      <c r="E61" t="s">
        <v>57</v>
      </c>
      <c r="F61" s="14">
        <v>877687</v>
      </c>
      <c r="G61" s="14">
        <v>877687</v>
      </c>
      <c r="H61">
        <f t="shared" si="0"/>
        <v>0</v>
      </c>
      <c r="I61" s="20">
        <f t="shared" si="1"/>
        <v>43191</v>
      </c>
    </row>
    <row r="62" spans="1:9" x14ac:dyDescent="0.2">
      <c r="A62">
        <v>2018</v>
      </c>
      <c r="B62">
        <v>4</v>
      </c>
      <c r="C62" t="s">
        <v>55</v>
      </c>
      <c r="D62" t="s">
        <v>60</v>
      </c>
      <c r="E62" t="s">
        <v>61</v>
      </c>
      <c r="F62" s="14">
        <v>216959543</v>
      </c>
      <c r="G62" s="14">
        <v>144637673</v>
      </c>
      <c r="H62">
        <f t="shared" si="0"/>
        <v>0</v>
      </c>
      <c r="I62" s="20">
        <f t="shared" si="1"/>
        <v>43191</v>
      </c>
    </row>
    <row r="63" spans="1:9" x14ac:dyDescent="0.2">
      <c r="A63">
        <v>2018</v>
      </c>
      <c r="B63">
        <v>4</v>
      </c>
      <c r="C63" t="s">
        <v>55</v>
      </c>
      <c r="D63" t="s">
        <v>60</v>
      </c>
      <c r="E63" t="s">
        <v>63</v>
      </c>
      <c r="F63" s="14">
        <v>42024462</v>
      </c>
      <c r="G63" s="14">
        <v>24720243</v>
      </c>
      <c r="H63">
        <f t="shared" si="0"/>
        <v>0</v>
      </c>
      <c r="I63" s="20">
        <f t="shared" si="1"/>
        <v>43191</v>
      </c>
    </row>
    <row r="64" spans="1:9" x14ac:dyDescent="0.2">
      <c r="A64">
        <v>2018</v>
      </c>
      <c r="B64">
        <v>4</v>
      </c>
      <c r="C64" t="s">
        <v>62</v>
      </c>
      <c r="D64" t="s">
        <v>60</v>
      </c>
      <c r="E64" t="s">
        <v>63</v>
      </c>
      <c r="F64" s="14">
        <v>31348353</v>
      </c>
      <c r="G64" s="14">
        <v>18440208</v>
      </c>
      <c r="H64">
        <f t="shared" si="0"/>
        <v>0</v>
      </c>
      <c r="I64" s="20">
        <f t="shared" si="1"/>
        <v>43191</v>
      </c>
    </row>
    <row r="65" spans="1:9" x14ac:dyDescent="0.2">
      <c r="A65">
        <v>2018</v>
      </c>
      <c r="B65">
        <v>4</v>
      </c>
      <c r="C65" t="s">
        <v>64</v>
      </c>
      <c r="D65" t="s">
        <v>60</v>
      </c>
      <c r="E65" t="s">
        <v>61</v>
      </c>
      <c r="F65" s="14">
        <v>23904320</v>
      </c>
      <c r="G65" s="14">
        <v>15936188</v>
      </c>
      <c r="H65">
        <f t="shared" si="0"/>
        <v>0</v>
      </c>
      <c r="I65" s="20">
        <f t="shared" si="1"/>
        <v>43191</v>
      </c>
    </row>
    <row r="66" spans="1:9" x14ac:dyDescent="0.2">
      <c r="A66">
        <v>2018</v>
      </c>
      <c r="B66">
        <v>4</v>
      </c>
      <c r="C66" t="s">
        <v>55</v>
      </c>
      <c r="D66" t="s">
        <v>60</v>
      </c>
      <c r="E66" t="s">
        <v>65</v>
      </c>
      <c r="F66" s="14">
        <v>295414</v>
      </c>
      <c r="G66" s="14">
        <v>184634</v>
      </c>
      <c r="H66">
        <f t="shared" si="0"/>
        <v>1</v>
      </c>
      <c r="I66" s="20">
        <f t="shared" si="1"/>
        <v>43191</v>
      </c>
    </row>
    <row r="67" spans="1:9" x14ac:dyDescent="0.2">
      <c r="A67">
        <v>2018</v>
      </c>
      <c r="B67">
        <v>4</v>
      </c>
      <c r="C67" t="s">
        <v>55</v>
      </c>
      <c r="D67" t="s">
        <v>66</v>
      </c>
      <c r="E67" t="s">
        <v>67</v>
      </c>
      <c r="F67" s="14">
        <v>2687925</v>
      </c>
      <c r="G67" s="14">
        <v>1791949</v>
      </c>
      <c r="H67">
        <f t="shared" ref="H67:H130" si="2">--ISNUMBER(SEARCH("Jet Fuel",E67))</f>
        <v>0</v>
      </c>
      <c r="I67" s="20">
        <f t="shared" ref="I67:I130" si="3">DATE(A67,B67,1)</f>
        <v>43191</v>
      </c>
    </row>
    <row r="68" spans="1:9" x14ac:dyDescent="0.2">
      <c r="A68">
        <v>2018</v>
      </c>
      <c r="B68">
        <v>4</v>
      </c>
      <c r="C68" t="s">
        <v>55</v>
      </c>
      <c r="D68" t="s">
        <v>66</v>
      </c>
      <c r="E68" t="s">
        <v>68</v>
      </c>
      <c r="F68" s="14">
        <v>2129955</v>
      </c>
      <c r="G68" s="14">
        <v>2129955</v>
      </c>
      <c r="H68">
        <f t="shared" si="2"/>
        <v>0</v>
      </c>
      <c r="I68" s="20">
        <f t="shared" si="3"/>
        <v>43191</v>
      </c>
    </row>
    <row r="69" spans="1:9" x14ac:dyDescent="0.2">
      <c r="A69">
        <v>2018</v>
      </c>
      <c r="B69">
        <v>4</v>
      </c>
      <c r="C69" t="s">
        <v>55</v>
      </c>
      <c r="D69" t="s">
        <v>66</v>
      </c>
      <c r="E69" t="s">
        <v>63</v>
      </c>
      <c r="F69" s="14">
        <v>1752259</v>
      </c>
      <c r="G69" s="14">
        <v>1030741</v>
      </c>
      <c r="H69">
        <f t="shared" si="2"/>
        <v>0</v>
      </c>
      <c r="I69" s="20">
        <f t="shared" si="3"/>
        <v>43191</v>
      </c>
    </row>
    <row r="70" spans="1:9" x14ac:dyDescent="0.2">
      <c r="A70">
        <v>2018</v>
      </c>
      <c r="B70">
        <v>4</v>
      </c>
      <c r="C70" t="s">
        <v>55</v>
      </c>
      <c r="D70" t="s">
        <v>66</v>
      </c>
      <c r="E70" t="s">
        <v>69</v>
      </c>
      <c r="F70" s="14">
        <v>290391</v>
      </c>
      <c r="G70" s="14">
        <v>181496</v>
      </c>
      <c r="H70">
        <f t="shared" si="2"/>
        <v>0</v>
      </c>
      <c r="I70" s="20">
        <f t="shared" si="3"/>
        <v>43191</v>
      </c>
    </row>
    <row r="71" spans="1:9" x14ac:dyDescent="0.2">
      <c r="A71">
        <v>2018</v>
      </c>
      <c r="B71">
        <v>4</v>
      </c>
      <c r="C71" t="s">
        <v>55</v>
      </c>
      <c r="D71" t="s">
        <v>66</v>
      </c>
      <c r="E71" t="s">
        <v>59</v>
      </c>
      <c r="F71" s="14">
        <v>182174</v>
      </c>
      <c r="G71" s="14">
        <v>182174</v>
      </c>
      <c r="H71">
        <f t="shared" si="2"/>
        <v>0</v>
      </c>
      <c r="I71" s="20">
        <f t="shared" si="3"/>
        <v>43191</v>
      </c>
    </row>
    <row r="72" spans="1:9" x14ac:dyDescent="0.2">
      <c r="A72">
        <v>2018</v>
      </c>
      <c r="B72">
        <v>4</v>
      </c>
      <c r="C72" t="s">
        <v>55</v>
      </c>
      <c r="D72" t="s">
        <v>70</v>
      </c>
      <c r="E72" t="s">
        <v>68</v>
      </c>
      <c r="F72" s="14">
        <v>1221248344</v>
      </c>
      <c r="G72" s="14">
        <v>1221248344</v>
      </c>
      <c r="H72">
        <f t="shared" si="2"/>
        <v>0</v>
      </c>
      <c r="I72" s="20">
        <f t="shared" si="3"/>
        <v>43191</v>
      </c>
    </row>
    <row r="73" spans="1:9" x14ac:dyDescent="0.2">
      <c r="A73">
        <v>2018</v>
      </c>
      <c r="B73">
        <v>4</v>
      </c>
      <c r="C73" t="s">
        <v>62</v>
      </c>
      <c r="D73" t="s">
        <v>70</v>
      </c>
      <c r="E73" t="s">
        <v>63</v>
      </c>
      <c r="F73" s="14">
        <v>22632516</v>
      </c>
      <c r="G73" s="14">
        <v>13313245</v>
      </c>
      <c r="H73">
        <f t="shared" si="2"/>
        <v>0</v>
      </c>
      <c r="I73" s="20">
        <f t="shared" si="3"/>
        <v>43191</v>
      </c>
    </row>
    <row r="74" spans="1:9" x14ac:dyDescent="0.2">
      <c r="A74">
        <v>2018</v>
      </c>
      <c r="B74">
        <v>4</v>
      </c>
      <c r="C74" t="s">
        <v>64</v>
      </c>
      <c r="D74" t="s">
        <v>70</v>
      </c>
      <c r="E74" t="s">
        <v>68</v>
      </c>
      <c r="F74" s="14">
        <v>861598</v>
      </c>
      <c r="G74" s="14">
        <v>861598</v>
      </c>
      <c r="H74">
        <f t="shared" si="2"/>
        <v>0</v>
      </c>
      <c r="I74" s="20">
        <f t="shared" si="3"/>
        <v>43191</v>
      </c>
    </row>
    <row r="75" spans="1:9" x14ac:dyDescent="0.2">
      <c r="A75">
        <v>2018</v>
      </c>
      <c r="B75">
        <v>4</v>
      </c>
      <c r="C75" t="s">
        <v>64</v>
      </c>
      <c r="D75" t="s">
        <v>71</v>
      </c>
      <c r="E75" t="s">
        <v>72</v>
      </c>
      <c r="F75" s="14">
        <v>106260</v>
      </c>
      <c r="G75" s="14">
        <v>106260</v>
      </c>
      <c r="H75">
        <f t="shared" si="2"/>
        <v>0</v>
      </c>
      <c r="I75" s="20">
        <f t="shared" si="3"/>
        <v>43191</v>
      </c>
    </row>
    <row r="76" spans="1:9" x14ac:dyDescent="0.2">
      <c r="A76">
        <v>2018</v>
      </c>
      <c r="B76">
        <v>4</v>
      </c>
      <c r="C76" t="s">
        <v>55</v>
      </c>
      <c r="D76" t="s">
        <v>71</v>
      </c>
      <c r="E76" t="s">
        <v>73</v>
      </c>
      <c r="F76" s="14">
        <v>3960</v>
      </c>
      <c r="G76" s="14">
        <v>2329</v>
      </c>
      <c r="H76">
        <f t="shared" si="2"/>
        <v>0</v>
      </c>
      <c r="I76" s="20">
        <f t="shared" si="3"/>
        <v>43191</v>
      </c>
    </row>
    <row r="77" spans="1:9" x14ac:dyDescent="0.2">
      <c r="A77">
        <v>2018</v>
      </c>
      <c r="B77">
        <v>5</v>
      </c>
      <c r="C77" t="s">
        <v>55</v>
      </c>
      <c r="D77" t="s">
        <v>56</v>
      </c>
      <c r="E77" t="s">
        <v>59</v>
      </c>
      <c r="F77" s="14">
        <v>15555160</v>
      </c>
      <c r="G77" s="14">
        <v>15555160</v>
      </c>
      <c r="H77">
        <f t="shared" si="2"/>
        <v>0</v>
      </c>
      <c r="I77" s="20">
        <f t="shared" si="3"/>
        <v>43221</v>
      </c>
    </row>
    <row r="78" spans="1:9" x14ac:dyDescent="0.2">
      <c r="A78">
        <v>2018</v>
      </c>
      <c r="B78">
        <v>5</v>
      </c>
      <c r="C78" t="s">
        <v>55</v>
      </c>
      <c r="D78" t="s">
        <v>56</v>
      </c>
      <c r="E78" t="s">
        <v>58</v>
      </c>
      <c r="F78" s="14">
        <v>3040090</v>
      </c>
      <c r="G78" s="14">
        <v>3040090</v>
      </c>
      <c r="H78">
        <f t="shared" si="2"/>
        <v>0</v>
      </c>
      <c r="I78" s="20">
        <f t="shared" si="3"/>
        <v>43221</v>
      </c>
    </row>
    <row r="79" spans="1:9" x14ac:dyDescent="0.2">
      <c r="A79">
        <v>2018</v>
      </c>
      <c r="B79">
        <v>5</v>
      </c>
      <c r="C79" t="s">
        <v>64</v>
      </c>
      <c r="D79" t="s">
        <v>56</v>
      </c>
      <c r="E79" t="s">
        <v>58</v>
      </c>
      <c r="F79" s="14">
        <v>2543716</v>
      </c>
      <c r="G79" s="14">
        <v>2543716</v>
      </c>
      <c r="H79">
        <f t="shared" si="2"/>
        <v>0</v>
      </c>
      <c r="I79" s="20">
        <f t="shared" si="3"/>
        <v>43221</v>
      </c>
    </row>
    <row r="80" spans="1:9" x14ac:dyDescent="0.2">
      <c r="A80">
        <v>2018</v>
      </c>
      <c r="B80">
        <v>5</v>
      </c>
      <c r="C80" t="s">
        <v>55</v>
      </c>
      <c r="D80" t="s">
        <v>56</v>
      </c>
      <c r="E80" t="s">
        <v>57</v>
      </c>
      <c r="F80" s="14">
        <v>537342</v>
      </c>
      <c r="G80" s="14">
        <v>537342</v>
      </c>
      <c r="H80">
        <f t="shared" si="2"/>
        <v>0</v>
      </c>
      <c r="I80" s="20">
        <f t="shared" si="3"/>
        <v>43221</v>
      </c>
    </row>
    <row r="81" spans="1:9" x14ac:dyDescent="0.2">
      <c r="A81">
        <v>2018</v>
      </c>
      <c r="B81">
        <v>5</v>
      </c>
      <c r="C81" t="s">
        <v>64</v>
      </c>
      <c r="D81" t="s">
        <v>56</v>
      </c>
      <c r="E81" t="s">
        <v>59</v>
      </c>
      <c r="F81" s="14">
        <v>392582</v>
      </c>
      <c r="G81" s="14">
        <v>392582</v>
      </c>
      <c r="H81">
        <f t="shared" si="2"/>
        <v>0</v>
      </c>
      <c r="I81" s="20">
        <f t="shared" si="3"/>
        <v>43221</v>
      </c>
    </row>
    <row r="82" spans="1:9" x14ac:dyDescent="0.2">
      <c r="A82">
        <v>2018</v>
      </c>
      <c r="B82">
        <v>5</v>
      </c>
      <c r="C82" t="s">
        <v>55</v>
      </c>
      <c r="D82" t="s">
        <v>60</v>
      </c>
      <c r="E82" t="s">
        <v>61</v>
      </c>
      <c r="F82" s="14">
        <v>249356860</v>
      </c>
      <c r="G82" s="14">
        <v>166235446</v>
      </c>
      <c r="H82">
        <f t="shared" si="2"/>
        <v>0</v>
      </c>
      <c r="I82" s="20">
        <f t="shared" si="3"/>
        <v>43221</v>
      </c>
    </row>
    <row r="83" spans="1:9" x14ac:dyDescent="0.2">
      <c r="A83">
        <v>2018</v>
      </c>
      <c r="B83">
        <v>5</v>
      </c>
      <c r="C83" t="s">
        <v>62</v>
      </c>
      <c r="D83" t="s">
        <v>60</v>
      </c>
      <c r="E83" t="s">
        <v>63</v>
      </c>
      <c r="F83" s="14">
        <v>41021430</v>
      </c>
      <c r="G83" s="14">
        <v>24130252</v>
      </c>
      <c r="H83">
        <f t="shared" si="2"/>
        <v>0</v>
      </c>
      <c r="I83" s="20">
        <f t="shared" si="3"/>
        <v>43221</v>
      </c>
    </row>
    <row r="84" spans="1:9" x14ac:dyDescent="0.2">
      <c r="A84">
        <v>2018</v>
      </c>
      <c r="B84">
        <v>5</v>
      </c>
      <c r="C84" t="s">
        <v>55</v>
      </c>
      <c r="D84" t="s">
        <v>60</v>
      </c>
      <c r="E84" t="s">
        <v>63</v>
      </c>
      <c r="F84" s="14">
        <v>35832660</v>
      </c>
      <c r="G84" s="14">
        <v>21078019</v>
      </c>
      <c r="H84">
        <f t="shared" si="2"/>
        <v>0</v>
      </c>
      <c r="I84" s="20">
        <f t="shared" si="3"/>
        <v>43221</v>
      </c>
    </row>
    <row r="85" spans="1:9" x14ac:dyDescent="0.2">
      <c r="A85">
        <v>2018</v>
      </c>
      <c r="B85">
        <v>5</v>
      </c>
      <c r="C85" t="s">
        <v>64</v>
      </c>
      <c r="D85" t="s">
        <v>60</v>
      </c>
      <c r="E85" t="s">
        <v>61</v>
      </c>
      <c r="F85" s="14">
        <v>24085300</v>
      </c>
      <c r="G85" s="14">
        <v>16056827</v>
      </c>
      <c r="H85">
        <f t="shared" si="2"/>
        <v>0</v>
      </c>
      <c r="I85" s="20">
        <f t="shared" si="3"/>
        <v>43221</v>
      </c>
    </row>
    <row r="86" spans="1:9" x14ac:dyDescent="0.2">
      <c r="A86">
        <v>2018</v>
      </c>
      <c r="B86">
        <v>5</v>
      </c>
      <c r="C86" t="s">
        <v>55</v>
      </c>
      <c r="D86" t="s">
        <v>60</v>
      </c>
      <c r="E86" t="s">
        <v>65</v>
      </c>
      <c r="F86" s="14">
        <v>102702</v>
      </c>
      <c r="G86" s="14">
        <v>64189</v>
      </c>
      <c r="H86">
        <f t="shared" si="2"/>
        <v>1</v>
      </c>
      <c r="I86" s="20">
        <f t="shared" si="3"/>
        <v>43221</v>
      </c>
    </row>
    <row r="87" spans="1:9" x14ac:dyDescent="0.2">
      <c r="A87">
        <v>2018</v>
      </c>
      <c r="B87">
        <v>5</v>
      </c>
      <c r="C87" t="s">
        <v>55</v>
      </c>
      <c r="D87" t="s">
        <v>66</v>
      </c>
      <c r="E87" t="s">
        <v>67</v>
      </c>
      <c r="F87" s="14">
        <v>2818415</v>
      </c>
      <c r="G87" s="14">
        <v>1878943</v>
      </c>
      <c r="H87">
        <f t="shared" si="2"/>
        <v>0</v>
      </c>
      <c r="I87" s="20">
        <f t="shared" si="3"/>
        <v>43221</v>
      </c>
    </row>
    <row r="88" spans="1:9" x14ac:dyDescent="0.2">
      <c r="A88">
        <v>2018</v>
      </c>
      <c r="B88">
        <v>5</v>
      </c>
      <c r="C88" t="s">
        <v>55</v>
      </c>
      <c r="D88" t="s">
        <v>66</v>
      </c>
      <c r="E88" t="s">
        <v>68</v>
      </c>
      <c r="F88" s="14">
        <v>2025926</v>
      </c>
      <c r="G88" s="14">
        <v>2025926</v>
      </c>
      <c r="H88">
        <f t="shared" si="2"/>
        <v>0</v>
      </c>
      <c r="I88" s="20">
        <f t="shared" si="3"/>
        <v>43221</v>
      </c>
    </row>
    <row r="89" spans="1:9" x14ac:dyDescent="0.2">
      <c r="A89">
        <v>2018</v>
      </c>
      <c r="B89">
        <v>5</v>
      </c>
      <c r="C89" t="s">
        <v>55</v>
      </c>
      <c r="D89" t="s">
        <v>66</v>
      </c>
      <c r="E89" t="s">
        <v>63</v>
      </c>
      <c r="F89" s="14">
        <v>731388</v>
      </c>
      <c r="G89" s="14">
        <v>430228</v>
      </c>
      <c r="H89">
        <f t="shared" si="2"/>
        <v>0</v>
      </c>
      <c r="I89" s="20">
        <f t="shared" si="3"/>
        <v>43221</v>
      </c>
    </row>
    <row r="90" spans="1:9" x14ac:dyDescent="0.2">
      <c r="A90">
        <v>2018</v>
      </c>
      <c r="B90">
        <v>5</v>
      </c>
      <c r="C90" t="s">
        <v>55</v>
      </c>
      <c r="D90" t="s">
        <v>66</v>
      </c>
      <c r="E90" t="s">
        <v>59</v>
      </c>
      <c r="F90" s="14">
        <v>225406</v>
      </c>
      <c r="G90" s="14">
        <v>225406</v>
      </c>
      <c r="H90">
        <f t="shared" si="2"/>
        <v>0</v>
      </c>
      <c r="I90" s="20">
        <f t="shared" si="3"/>
        <v>43221</v>
      </c>
    </row>
    <row r="91" spans="1:9" x14ac:dyDescent="0.2">
      <c r="A91">
        <v>2018</v>
      </c>
      <c r="B91">
        <v>5</v>
      </c>
      <c r="C91" t="s">
        <v>55</v>
      </c>
      <c r="D91" t="s">
        <v>66</v>
      </c>
      <c r="E91" t="s">
        <v>69</v>
      </c>
      <c r="F91" s="14">
        <v>137718</v>
      </c>
      <c r="G91" s="14">
        <v>86075</v>
      </c>
      <c r="H91">
        <f t="shared" si="2"/>
        <v>0</v>
      </c>
      <c r="I91" s="20">
        <f t="shared" si="3"/>
        <v>43221</v>
      </c>
    </row>
    <row r="92" spans="1:9" x14ac:dyDescent="0.2">
      <c r="A92">
        <v>2018</v>
      </c>
      <c r="B92">
        <v>5</v>
      </c>
      <c r="C92" t="s">
        <v>55</v>
      </c>
      <c r="D92" t="s">
        <v>70</v>
      </c>
      <c r="E92" t="s">
        <v>68</v>
      </c>
      <c r="F92" s="14">
        <v>1284250164</v>
      </c>
      <c r="G92" s="14">
        <v>1284250164</v>
      </c>
      <c r="H92">
        <f t="shared" si="2"/>
        <v>0</v>
      </c>
      <c r="I92" s="20">
        <f t="shared" si="3"/>
        <v>43221</v>
      </c>
    </row>
    <row r="93" spans="1:9" x14ac:dyDescent="0.2">
      <c r="A93">
        <v>2018</v>
      </c>
      <c r="B93">
        <v>5</v>
      </c>
      <c r="C93" t="s">
        <v>62</v>
      </c>
      <c r="D93" t="s">
        <v>70</v>
      </c>
      <c r="E93" t="s">
        <v>63</v>
      </c>
      <c r="F93" s="14">
        <v>12892429</v>
      </c>
      <c r="G93" s="14">
        <v>7583782</v>
      </c>
      <c r="H93">
        <f t="shared" si="2"/>
        <v>0</v>
      </c>
      <c r="I93" s="20">
        <f t="shared" si="3"/>
        <v>43221</v>
      </c>
    </row>
    <row r="94" spans="1:9" x14ac:dyDescent="0.2">
      <c r="A94">
        <v>2018</v>
      </c>
      <c r="B94">
        <v>5</v>
      </c>
      <c r="C94" t="s">
        <v>64</v>
      </c>
      <c r="D94" t="s">
        <v>70</v>
      </c>
      <c r="E94" t="s">
        <v>68</v>
      </c>
      <c r="F94" s="14">
        <v>1085440</v>
      </c>
      <c r="G94" s="14">
        <v>1085440</v>
      </c>
      <c r="H94">
        <f t="shared" si="2"/>
        <v>0</v>
      </c>
      <c r="I94" s="20">
        <f t="shared" si="3"/>
        <v>43221</v>
      </c>
    </row>
    <row r="95" spans="1:9" x14ac:dyDescent="0.2">
      <c r="A95">
        <v>2018</v>
      </c>
      <c r="B95">
        <v>5</v>
      </c>
      <c r="C95" t="s">
        <v>64</v>
      </c>
      <c r="D95" t="s">
        <v>71</v>
      </c>
      <c r="E95" t="s">
        <v>72</v>
      </c>
      <c r="F95" s="14">
        <v>457786</v>
      </c>
      <c r="G95" s="14">
        <v>457786</v>
      </c>
      <c r="H95">
        <f t="shared" si="2"/>
        <v>0</v>
      </c>
      <c r="I95" s="20">
        <f t="shared" si="3"/>
        <v>43221</v>
      </c>
    </row>
    <row r="96" spans="1:9" x14ac:dyDescent="0.2">
      <c r="A96">
        <v>2018</v>
      </c>
      <c r="B96">
        <v>6</v>
      </c>
      <c r="C96" t="s">
        <v>55</v>
      </c>
      <c r="D96" t="s">
        <v>56</v>
      </c>
      <c r="E96" t="s">
        <v>59</v>
      </c>
      <c r="F96" s="14">
        <v>18467304</v>
      </c>
      <c r="G96" s="14">
        <v>18467304</v>
      </c>
      <c r="H96">
        <f t="shared" si="2"/>
        <v>0</v>
      </c>
      <c r="I96" s="20">
        <f t="shared" si="3"/>
        <v>43252</v>
      </c>
    </row>
    <row r="97" spans="1:9" x14ac:dyDescent="0.2">
      <c r="A97">
        <v>2018</v>
      </c>
      <c r="B97">
        <v>6</v>
      </c>
      <c r="C97" t="s">
        <v>55</v>
      </c>
      <c r="D97" t="s">
        <v>56</v>
      </c>
      <c r="E97" t="s">
        <v>58</v>
      </c>
      <c r="F97" s="14">
        <v>3270773</v>
      </c>
      <c r="G97" s="14">
        <v>3270773</v>
      </c>
      <c r="H97">
        <f t="shared" si="2"/>
        <v>0</v>
      </c>
      <c r="I97" s="20">
        <f t="shared" si="3"/>
        <v>43252</v>
      </c>
    </row>
    <row r="98" spans="1:9" x14ac:dyDescent="0.2">
      <c r="A98">
        <v>2018</v>
      </c>
      <c r="B98">
        <v>6</v>
      </c>
      <c r="C98" t="s">
        <v>64</v>
      </c>
      <c r="D98" t="s">
        <v>56</v>
      </c>
      <c r="E98" t="s">
        <v>58</v>
      </c>
      <c r="F98" s="14">
        <v>2754865</v>
      </c>
      <c r="G98" s="14">
        <v>2754865</v>
      </c>
      <c r="H98">
        <f t="shared" si="2"/>
        <v>0</v>
      </c>
      <c r="I98" s="20">
        <f t="shared" si="3"/>
        <v>43252</v>
      </c>
    </row>
    <row r="99" spans="1:9" x14ac:dyDescent="0.2">
      <c r="A99">
        <v>2018</v>
      </c>
      <c r="B99">
        <v>6</v>
      </c>
      <c r="C99" t="s">
        <v>55</v>
      </c>
      <c r="D99" t="s">
        <v>56</v>
      </c>
      <c r="E99" t="s">
        <v>57</v>
      </c>
      <c r="F99" s="14">
        <v>549023</v>
      </c>
      <c r="G99" s="14">
        <v>549023</v>
      </c>
      <c r="H99">
        <f t="shared" si="2"/>
        <v>0</v>
      </c>
      <c r="I99" s="20">
        <f t="shared" si="3"/>
        <v>43252</v>
      </c>
    </row>
    <row r="100" spans="1:9" x14ac:dyDescent="0.2">
      <c r="A100">
        <v>2018</v>
      </c>
      <c r="B100">
        <v>6</v>
      </c>
      <c r="C100" t="s">
        <v>64</v>
      </c>
      <c r="D100" t="s">
        <v>56</v>
      </c>
      <c r="E100" t="s">
        <v>59</v>
      </c>
      <c r="F100" s="14">
        <v>228611</v>
      </c>
      <c r="G100" s="14">
        <v>228611</v>
      </c>
      <c r="H100">
        <f t="shared" si="2"/>
        <v>0</v>
      </c>
      <c r="I100" s="20">
        <f t="shared" si="3"/>
        <v>43252</v>
      </c>
    </row>
    <row r="101" spans="1:9" x14ac:dyDescent="0.2">
      <c r="A101">
        <v>2018</v>
      </c>
      <c r="B101">
        <v>6</v>
      </c>
      <c r="C101" t="s">
        <v>55</v>
      </c>
      <c r="D101" t="s">
        <v>60</v>
      </c>
      <c r="E101" t="s">
        <v>61</v>
      </c>
      <c r="F101" s="14">
        <v>240825588</v>
      </c>
      <c r="G101" s="14">
        <v>160548223</v>
      </c>
      <c r="H101">
        <f t="shared" si="2"/>
        <v>0</v>
      </c>
      <c r="I101" s="20">
        <f t="shared" si="3"/>
        <v>43252</v>
      </c>
    </row>
    <row r="102" spans="1:9" x14ac:dyDescent="0.2">
      <c r="A102">
        <v>2018</v>
      </c>
      <c r="B102">
        <v>6</v>
      </c>
      <c r="C102" t="s">
        <v>62</v>
      </c>
      <c r="D102" t="s">
        <v>60</v>
      </c>
      <c r="E102" t="s">
        <v>63</v>
      </c>
      <c r="F102" s="14">
        <v>39295111</v>
      </c>
      <c r="G102" s="14">
        <v>23114771</v>
      </c>
      <c r="H102">
        <f t="shared" si="2"/>
        <v>0</v>
      </c>
      <c r="I102" s="20">
        <f t="shared" si="3"/>
        <v>43252</v>
      </c>
    </row>
    <row r="103" spans="1:9" x14ac:dyDescent="0.2">
      <c r="A103">
        <v>2018</v>
      </c>
      <c r="B103">
        <v>6</v>
      </c>
      <c r="C103" t="s">
        <v>55</v>
      </c>
      <c r="D103" t="s">
        <v>60</v>
      </c>
      <c r="E103" t="s">
        <v>63</v>
      </c>
      <c r="F103" s="14">
        <v>19470690</v>
      </c>
      <c r="G103" s="14">
        <v>11453319</v>
      </c>
      <c r="H103">
        <f t="shared" si="2"/>
        <v>0</v>
      </c>
      <c r="I103" s="20">
        <f t="shared" si="3"/>
        <v>43252</v>
      </c>
    </row>
    <row r="104" spans="1:9" x14ac:dyDescent="0.2">
      <c r="A104">
        <v>2018</v>
      </c>
      <c r="B104">
        <v>6</v>
      </c>
      <c r="C104" t="s">
        <v>64</v>
      </c>
      <c r="D104" t="s">
        <v>60</v>
      </c>
      <c r="E104" t="s">
        <v>61</v>
      </c>
      <c r="F104" s="14">
        <v>18351490</v>
      </c>
      <c r="G104" s="14">
        <v>12234295</v>
      </c>
      <c r="H104">
        <f t="shared" si="2"/>
        <v>0</v>
      </c>
      <c r="I104" s="20">
        <f t="shared" si="3"/>
        <v>43252</v>
      </c>
    </row>
    <row r="105" spans="1:9" x14ac:dyDescent="0.2">
      <c r="A105">
        <v>2018</v>
      </c>
      <c r="B105">
        <v>6</v>
      </c>
      <c r="C105" t="s">
        <v>55</v>
      </c>
      <c r="D105" t="s">
        <v>60</v>
      </c>
      <c r="E105" t="s">
        <v>65</v>
      </c>
      <c r="F105" s="14">
        <v>224310</v>
      </c>
      <c r="G105" s="14">
        <v>140194</v>
      </c>
      <c r="H105">
        <f t="shared" si="2"/>
        <v>1</v>
      </c>
      <c r="I105" s="20">
        <f t="shared" si="3"/>
        <v>43252</v>
      </c>
    </row>
    <row r="106" spans="1:9" x14ac:dyDescent="0.2">
      <c r="A106">
        <v>2018</v>
      </c>
      <c r="B106">
        <v>6</v>
      </c>
      <c r="C106" t="s">
        <v>55</v>
      </c>
      <c r="D106" t="s">
        <v>66</v>
      </c>
      <c r="E106" t="s">
        <v>68</v>
      </c>
      <c r="F106" s="14">
        <v>2194561</v>
      </c>
      <c r="G106" s="14">
        <v>2194561</v>
      </c>
      <c r="H106">
        <f t="shared" si="2"/>
        <v>0</v>
      </c>
      <c r="I106" s="20">
        <f t="shared" si="3"/>
        <v>43252</v>
      </c>
    </row>
    <row r="107" spans="1:9" x14ac:dyDescent="0.2">
      <c r="A107">
        <v>2018</v>
      </c>
      <c r="B107">
        <v>6</v>
      </c>
      <c r="C107" t="s">
        <v>55</v>
      </c>
      <c r="D107" t="s">
        <v>66</v>
      </c>
      <c r="E107" t="s">
        <v>63</v>
      </c>
      <c r="F107" s="14">
        <v>1582201</v>
      </c>
      <c r="G107" s="14">
        <v>930706</v>
      </c>
      <c r="H107">
        <f t="shared" si="2"/>
        <v>0</v>
      </c>
      <c r="I107" s="20">
        <f t="shared" si="3"/>
        <v>43252</v>
      </c>
    </row>
    <row r="108" spans="1:9" x14ac:dyDescent="0.2">
      <c r="A108">
        <v>2018</v>
      </c>
      <c r="B108">
        <v>6</v>
      </c>
      <c r="C108" t="s">
        <v>55</v>
      </c>
      <c r="D108" t="s">
        <v>66</v>
      </c>
      <c r="E108" t="s">
        <v>67</v>
      </c>
      <c r="F108" s="14">
        <v>415782</v>
      </c>
      <c r="G108" s="14">
        <v>277187</v>
      </c>
      <c r="H108">
        <f t="shared" si="2"/>
        <v>0</v>
      </c>
      <c r="I108" s="20">
        <f t="shared" si="3"/>
        <v>43252</v>
      </c>
    </row>
    <row r="109" spans="1:9" x14ac:dyDescent="0.2">
      <c r="A109">
        <v>2018</v>
      </c>
      <c r="B109">
        <v>6</v>
      </c>
      <c r="C109" t="s">
        <v>55</v>
      </c>
      <c r="D109" t="s">
        <v>66</v>
      </c>
      <c r="E109" t="s">
        <v>59</v>
      </c>
      <c r="F109" s="14">
        <v>356242</v>
      </c>
      <c r="G109" s="14">
        <v>356242</v>
      </c>
      <c r="H109">
        <f t="shared" si="2"/>
        <v>0</v>
      </c>
      <c r="I109" s="20">
        <f t="shared" si="3"/>
        <v>43252</v>
      </c>
    </row>
    <row r="110" spans="1:9" x14ac:dyDescent="0.2">
      <c r="A110">
        <v>2018</v>
      </c>
      <c r="B110">
        <v>6</v>
      </c>
      <c r="C110" t="s">
        <v>55</v>
      </c>
      <c r="D110" t="s">
        <v>66</v>
      </c>
      <c r="E110" t="s">
        <v>69</v>
      </c>
      <c r="F110" s="14">
        <v>91471</v>
      </c>
      <c r="G110" s="14">
        <v>57169</v>
      </c>
      <c r="H110">
        <f t="shared" si="2"/>
        <v>0</v>
      </c>
      <c r="I110" s="20">
        <f t="shared" si="3"/>
        <v>43252</v>
      </c>
    </row>
    <row r="111" spans="1:9" x14ac:dyDescent="0.2">
      <c r="A111">
        <v>2018</v>
      </c>
      <c r="B111">
        <v>6</v>
      </c>
      <c r="C111" t="s">
        <v>55</v>
      </c>
      <c r="D111" t="s">
        <v>70</v>
      </c>
      <c r="E111" t="s">
        <v>68</v>
      </c>
      <c r="F111" s="14">
        <v>1247223444</v>
      </c>
      <c r="G111" s="14">
        <v>1247223444</v>
      </c>
      <c r="H111">
        <f t="shared" si="2"/>
        <v>0</v>
      </c>
      <c r="I111" s="20">
        <f t="shared" si="3"/>
        <v>43252</v>
      </c>
    </row>
    <row r="112" spans="1:9" x14ac:dyDescent="0.2">
      <c r="A112">
        <v>2018</v>
      </c>
      <c r="B112">
        <v>6</v>
      </c>
      <c r="C112" t="s">
        <v>62</v>
      </c>
      <c r="D112" t="s">
        <v>70</v>
      </c>
      <c r="E112" t="s">
        <v>63</v>
      </c>
      <c r="F112" s="14">
        <v>9684035</v>
      </c>
      <c r="G112" s="14">
        <v>5696491</v>
      </c>
      <c r="H112">
        <f t="shared" si="2"/>
        <v>0</v>
      </c>
      <c r="I112" s="20">
        <f t="shared" si="3"/>
        <v>43252</v>
      </c>
    </row>
    <row r="113" spans="1:9" x14ac:dyDescent="0.2">
      <c r="A113">
        <v>2018</v>
      </c>
      <c r="B113">
        <v>6</v>
      </c>
      <c r="C113" t="s">
        <v>64</v>
      </c>
      <c r="D113" t="s">
        <v>70</v>
      </c>
      <c r="E113" t="s">
        <v>68</v>
      </c>
      <c r="F113" s="14">
        <v>1143777</v>
      </c>
      <c r="G113" s="14">
        <v>1143777</v>
      </c>
      <c r="H113">
        <f t="shared" si="2"/>
        <v>0</v>
      </c>
      <c r="I113" s="20">
        <f t="shared" si="3"/>
        <v>43252</v>
      </c>
    </row>
    <row r="114" spans="1:9" x14ac:dyDescent="0.2">
      <c r="A114">
        <v>2018</v>
      </c>
      <c r="B114">
        <v>6</v>
      </c>
      <c r="C114" t="s">
        <v>64</v>
      </c>
      <c r="D114" t="s">
        <v>71</v>
      </c>
      <c r="E114" t="s">
        <v>72</v>
      </c>
      <c r="F114" s="14">
        <v>297480</v>
      </c>
      <c r="G114" s="14">
        <v>297480</v>
      </c>
      <c r="H114">
        <f t="shared" si="2"/>
        <v>0</v>
      </c>
      <c r="I114" s="20">
        <f t="shared" si="3"/>
        <v>43252</v>
      </c>
    </row>
    <row r="115" spans="1:9" x14ac:dyDescent="0.2">
      <c r="A115">
        <v>2018</v>
      </c>
      <c r="B115">
        <v>7</v>
      </c>
      <c r="C115" t="s">
        <v>55</v>
      </c>
      <c r="D115" t="s">
        <v>56</v>
      </c>
      <c r="E115" t="s">
        <v>59</v>
      </c>
      <c r="F115" s="14">
        <v>19082106</v>
      </c>
      <c r="G115" s="14">
        <v>19082106</v>
      </c>
      <c r="H115">
        <f t="shared" si="2"/>
        <v>0</v>
      </c>
      <c r="I115" s="20">
        <f t="shared" si="3"/>
        <v>43282</v>
      </c>
    </row>
    <row r="116" spans="1:9" x14ac:dyDescent="0.2">
      <c r="A116">
        <v>2018</v>
      </c>
      <c r="B116">
        <v>7</v>
      </c>
      <c r="C116" t="s">
        <v>55</v>
      </c>
      <c r="D116" t="s">
        <v>56</v>
      </c>
      <c r="E116" t="s">
        <v>58</v>
      </c>
      <c r="F116" s="14">
        <v>4067717</v>
      </c>
      <c r="G116" s="14">
        <v>4067717</v>
      </c>
      <c r="H116">
        <f t="shared" si="2"/>
        <v>0</v>
      </c>
      <c r="I116" s="20">
        <f t="shared" si="3"/>
        <v>43282</v>
      </c>
    </row>
    <row r="117" spans="1:9" x14ac:dyDescent="0.2">
      <c r="A117">
        <v>2018</v>
      </c>
      <c r="B117">
        <v>7</v>
      </c>
      <c r="C117" t="s">
        <v>64</v>
      </c>
      <c r="D117" t="s">
        <v>56</v>
      </c>
      <c r="E117" t="s">
        <v>58</v>
      </c>
      <c r="F117" s="14">
        <v>2736723</v>
      </c>
      <c r="G117" s="14">
        <v>2736723</v>
      </c>
      <c r="H117">
        <f t="shared" si="2"/>
        <v>0</v>
      </c>
      <c r="I117" s="20">
        <f t="shared" si="3"/>
        <v>43282</v>
      </c>
    </row>
    <row r="118" spans="1:9" x14ac:dyDescent="0.2">
      <c r="A118">
        <v>2018</v>
      </c>
      <c r="B118">
        <v>7</v>
      </c>
      <c r="C118" t="s">
        <v>55</v>
      </c>
      <c r="D118" t="s">
        <v>56</v>
      </c>
      <c r="E118" t="s">
        <v>57</v>
      </c>
      <c r="F118" s="14">
        <v>267804</v>
      </c>
      <c r="G118" s="14">
        <v>267804</v>
      </c>
      <c r="H118">
        <f t="shared" si="2"/>
        <v>0</v>
      </c>
      <c r="I118" s="20">
        <f t="shared" si="3"/>
        <v>43282</v>
      </c>
    </row>
    <row r="119" spans="1:9" x14ac:dyDescent="0.2">
      <c r="A119">
        <v>2018</v>
      </c>
      <c r="B119">
        <v>7</v>
      </c>
      <c r="C119" t="s">
        <v>64</v>
      </c>
      <c r="D119" t="s">
        <v>56</v>
      </c>
      <c r="E119" t="s">
        <v>59</v>
      </c>
      <c r="F119" s="14">
        <v>196608</v>
      </c>
      <c r="G119" s="14">
        <v>196608</v>
      </c>
      <c r="H119">
        <f t="shared" si="2"/>
        <v>0</v>
      </c>
      <c r="I119" s="20">
        <f t="shared" si="3"/>
        <v>43282</v>
      </c>
    </row>
    <row r="120" spans="1:9" x14ac:dyDescent="0.2">
      <c r="A120">
        <v>2018</v>
      </c>
      <c r="B120">
        <v>7</v>
      </c>
      <c r="C120" t="s">
        <v>55</v>
      </c>
      <c r="D120" t="s">
        <v>60</v>
      </c>
      <c r="E120" t="s">
        <v>61</v>
      </c>
      <c r="F120" s="14">
        <v>254673304</v>
      </c>
      <c r="G120" s="14">
        <v>169779870</v>
      </c>
      <c r="H120">
        <f t="shared" si="2"/>
        <v>0</v>
      </c>
      <c r="I120" s="20">
        <f t="shared" si="3"/>
        <v>43282</v>
      </c>
    </row>
    <row r="121" spans="1:9" x14ac:dyDescent="0.2">
      <c r="A121">
        <v>2018</v>
      </c>
      <c r="B121">
        <v>7</v>
      </c>
      <c r="C121" t="s">
        <v>62</v>
      </c>
      <c r="D121" t="s">
        <v>60</v>
      </c>
      <c r="E121" t="s">
        <v>63</v>
      </c>
      <c r="F121" s="14">
        <v>34018368</v>
      </c>
      <c r="G121" s="14">
        <v>20010805</v>
      </c>
      <c r="H121">
        <f t="shared" si="2"/>
        <v>0</v>
      </c>
      <c r="I121" s="20">
        <f t="shared" si="3"/>
        <v>43282</v>
      </c>
    </row>
    <row r="122" spans="1:9" x14ac:dyDescent="0.2">
      <c r="A122">
        <v>2018</v>
      </c>
      <c r="B122">
        <v>7</v>
      </c>
      <c r="C122" t="s">
        <v>55</v>
      </c>
      <c r="D122" t="s">
        <v>60</v>
      </c>
      <c r="E122" t="s">
        <v>63</v>
      </c>
      <c r="F122" s="14">
        <v>13708343</v>
      </c>
      <c r="G122" s="14">
        <v>8063694</v>
      </c>
      <c r="H122">
        <f t="shared" si="2"/>
        <v>0</v>
      </c>
      <c r="I122" s="20">
        <f t="shared" si="3"/>
        <v>43282</v>
      </c>
    </row>
    <row r="123" spans="1:9" x14ac:dyDescent="0.2">
      <c r="A123">
        <v>2018</v>
      </c>
      <c r="B123">
        <v>7</v>
      </c>
      <c r="C123" t="s">
        <v>64</v>
      </c>
      <c r="D123" t="s">
        <v>60</v>
      </c>
      <c r="E123" t="s">
        <v>61</v>
      </c>
      <c r="F123" s="14">
        <v>7967029</v>
      </c>
      <c r="G123" s="14">
        <v>5311333</v>
      </c>
      <c r="H123">
        <f t="shared" si="2"/>
        <v>0</v>
      </c>
      <c r="I123" s="20">
        <f t="shared" si="3"/>
        <v>43282</v>
      </c>
    </row>
    <row r="124" spans="1:9" x14ac:dyDescent="0.2">
      <c r="A124">
        <v>2018</v>
      </c>
      <c r="B124">
        <v>7</v>
      </c>
      <c r="C124" t="s">
        <v>55</v>
      </c>
      <c r="D124" t="s">
        <v>60</v>
      </c>
      <c r="E124" t="s">
        <v>65</v>
      </c>
      <c r="F124" s="14">
        <v>131570</v>
      </c>
      <c r="G124" s="14">
        <v>82231</v>
      </c>
      <c r="H124">
        <f t="shared" si="2"/>
        <v>1</v>
      </c>
      <c r="I124" s="20">
        <f t="shared" si="3"/>
        <v>43282</v>
      </c>
    </row>
    <row r="125" spans="1:9" x14ac:dyDescent="0.2">
      <c r="A125">
        <v>2018</v>
      </c>
      <c r="B125">
        <v>7</v>
      </c>
      <c r="C125" t="s">
        <v>55</v>
      </c>
      <c r="D125" t="s">
        <v>66</v>
      </c>
      <c r="E125" t="s">
        <v>63</v>
      </c>
      <c r="F125" s="14">
        <v>4232694</v>
      </c>
      <c r="G125" s="14">
        <v>2489820</v>
      </c>
      <c r="H125">
        <f t="shared" si="2"/>
        <v>0</v>
      </c>
      <c r="I125" s="20">
        <f t="shared" si="3"/>
        <v>43282</v>
      </c>
    </row>
    <row r="126" spans="1:9" x14ac:dyDescent="0.2">
      <c r="A126">
        <v>2018</v>
      </c>
      <c r="B126">
        <v>7</v>
      </c>
      <c r="C126" t="s">
        <v>55</v>
      </c>
      <c r="D126" t="s">
        <v>66</v>
      </c>
      <c r="E126" t="s">
        <v>68</v>
      </c>
      <c r="F126" s="14">
        <v>2183916</v>
      </c>
      <c r="G126" s="14">
        <v>2183916</v>
      </c>
      <c r="H126">
        <f t="shared" si="2"/>
        <v>0</v>
      </c>
      <c r="I126" s="20">
        <f t="shared" si="3"/>
        <v>43282</v>
      </c>
    </row>
    <row r="127" spans="1:9" x14ac:dyDescent="0.2">
      <c r="A127">
        <v>2018</v>
      </c>
      <c r="B127">
        <v>7</v>
      </c>
      <c r="C127" t="s">
        <v>55</v>
      </c>
      <c r="D127" t="s">
        <v>66</v>
      </c>
      <c r="E127" t="s">
        <v>59</v>
      </c>
      <c r="F127" s="14">
        <v>109444</v>
      </c>
      <c r="G127" s="14">
        <v>109444</v>
      </c>
      <c r="H127">
        <f t="shared" si="2"/>
        <v>0</v>
      </c>
      <c r="I127" s="20">
        <f t="shared" si="3"/>
        <v>43282</v>
      </c>
    </row>
    <row r="128" spans="1:9" x14ac:dyDescent="0.2">
      <c r="A128">
        <v>2018</v>
      </c>
      <c r="B128">
        <v>7</v>
      </c>
      <c r="C128" t="s">
        <v>55</v>
      </c>
      <c r="D128" t="s">
        <v>66</v>
      </c>
      <c r="E128" t="s">
        <v>67</v>
      </c>
      <c r="F128" s="14">
        <v>55991</v>
      </c>
      <c r="G128" s="14">
        <v>37327</v>
      </c>
      <c r="H128">
        <f t="shared" si="2"/>
        <v>0</v>
      </c>
      <c r="I128" s="20">
        <f t="shared" si="3"/>
        <v>43282</v>
      </c>
    </row>
    <row r="129" spans="1:9" x14ac:dyDescent="0.2">
      <c r="A129">
        <v>2018</v>
      </c>
      <c r="B129">
        <v>7</v>
      </c>
      <c r="C129" t="s">
        <v>55</v>
      </c>
      <c r="D129" t="s">
        <v>66</v>
      </c>
      <c r="E129" t="s">
        <v>69</v>
      </c>
      <c r="F129" s="14">
        <v>39200</v>
      </c>
      <c r="G129" s="14">
        <v>24500</v>
      </c>
      <c r="H129">
        <f t="shared" si="2"/>
        <v>0</v>
      </c>
      <c r="I129" s="20">
        <f t="shared" si="3"/>
        <v>43282</v>
      </c>
    </row>
    <row r="130" spans="1:9" x14ac:dyDescent="0.2">
      <c r="A130">
        <v>2018</v>
      </c>
      <c r="B130">
        <v>7</v>
      </c>
      <c r="C130" t="s">
        <v>55</v>
      </c>
      <c r="D130" t="s">
        <v>70</v>
      </c>
      <c r="E130" t="s">
        <v>68</v>
      </c>
      <c r="F130" s="14">
        <v>1347918383</v>
      </c>
      <c r="G130" s="14">
        <v>1347918383</v>
      </c>
      <c r="H130">
        <f t="shared" si="2"/>
        <v>0</v>
      </c>
      <c r="I130" s="20">
        <f t="shared" si="3"/>
        <v>43282</v>
      </c>
    </row>
    <row r="131" spans="1:9" x14ac:dyDescent="0.2">
      <c r="A131">
        <v>2018</v>
      </c>
      <c r="B131">
        <v>7</v>
      </c>
      <c r="C131" t="s">
        <v>62</v>
      </c>
      <c r="D131" t="s">
        <v>70</v>
      </c>
      <c r="E131" t="s">
        <v>63</v>
      </c>
      <c r="F131" s="14">
        <v>16428068</v>
      </c>
      <c r="G131" s="14">
        <v>9663570</v>
      </c>
      <c r="H131">
        <f t="shared" ref="H131:H194" si="4">--ISNUMBER(SEARCH("Jet Fuel",E131))</f>
        <v>0</v>
      </c>
      <c r="I131" s="20">
        <f t="shared" ref="I131:I194" si="5">DATE(A131,B131,1)</f>
        <v>43282</v>
      </c>
    </row>
    <row r="132" spans="1:9" x14ac:dyDescent="0.2">
      <c r="A132">
        <v>2018</v>
      </c>
      <c r="B132">
        <v>7</v>
      </c>
      <c r="C132" t="s">
        <v>64</v>
      </c>
      <c r="D132" t="s">
        <v>70</v>
      </c>
      <c r="E132" t="s">
        <v>68</v>
      </c>
      <c r="F132" s="14">
        <v>1216753</v>
      </c>
      <c r="G132" s="14">
        <v>1216753</v>
      </c>
      <c r="H132">
        <f t="shared" si="4"/>
        <v>0</v>
      </c>
      <c r="I132" s="20">
        <f t="shared" si="5"/>
        <v>43282</v>
      </c>
    </row>
    <row r="133" spans="1:9" x14ac:dyDescent="0.2">
      <c r="A133">
        <v>2018</v>
      </c>
      <c r="B133">
        <v>8</v>
      </c>
      <c r="C133" t="s">
        <v>55</v>
      </c>
      <c r="D133" t="s">
        <v>56</v>
      </c>
      <c r="E133" t="s">
        <v>59</v>
      </c>
      <c r="F133" s="14">
        <v>22250007</v>
      </c>
      <c r="G133" s="14">
        <v>22250007</v>
      </c>
      <c r="H133">
        <f t="shared" si="4"/>
        <v>0</v>
      </c>
      <c r="I133" s="20">
        <f t="shared" si="5"/>
        <v>43313</v>
      </c>
    </row>
    <row r="134" spans="1:9" x14ac:dyDescent="0.2">
      <c r="A134">
        <v>2018</v>
      </c>
      <c r="B134">
        <v>8</v>
      </c>
      <c r="C134" t="s">
        <v>55</v>
      </c>
      <c r="D134" t="s">
        <v>56</v>
      </c>
      <c r="E134" t="s">
        <v>58</v>
      </c>
      <c r="F134" s="14">
        <v>5389916</v>
      </c>
      <c r="G134" s="14">
        <v>5389916</v>
      </c>
      <c r="H134">
        <f t="shared" si="4"/>
        <v>0</v>
      </c>
      <c r="I134" s="20">
        <f t="shared" si="5"/>
        <v>43313</v>
      </c>
    </row>
    <row r="135" spans="1:9" x14ac:dyDescent="0.2">
      <c r="A135">
        <v>2018</v>
      </c>
      <c r="B135">
        <v>8</v>
      </c>
      <c r="C135" t="s">
        <v>64</v>
      </c>
      <c r="D135" t="s">
        <v>56</v>
      </c>
      <c r="E135" t="s">
        <v>58</v>
      </c>
      <c r="F135" s="14">
        <v>2778425</v>
      </c>
      <c r="G135" s="14">
        <v>2778425</v>
      </c>
      <c r="H135">
        <f t="shared" si="4"/>
        <v>0</v>
      </c>
      <c r="I135" s="20">
        <f t="shared" si="5"/>
        <v>43313</v>
      </c>
    </row>
    <row r="136" spans="1:9" x14ac:dyDescent="0.2">
      <c r="A136">
        <v>2018</v>
      </c>
      <c r="B136">
        <v>8</v>
      </c>
      <c r="C136" t="s">
        <v>55</v>
      </c>
      <c r="D136" t="s">
        <v>56</v>
      </c>
      <c r="E136" t="s">
        <v>57</v>
      </c>
      <c r="F136" s="14">
        <v>445350</v>
      </c>
      <c r="G136" s="14">
        <v>445350</v>
      </c>
      <c r="H136">
        <f t="shared" si="4"/>
        <v>0</v>
      </c>
      <c r="I136" s="20">
        <f t="shared" si="5"/>
        <v>43313</v>
      </c>
    </row>
    <row r="137" spans="1:9" x14ac:dyDescent="0.2">
      <c r="A137">
        <v>2018</v>
      </c>
      <c r="B137">
        <v>8</v>
      </c>
      <c r="C137" t="s">
        <v>64</v>
      </c>
      <c r="D137" t="s">
        <v>56</v>
      </c>
      <c r="E137" t="s">
        <v>59</v>
      </c>
      <c r="F137" s="14">
        <v>428514</v>
      </c>
      <c r="G137" s="14">
        <v>428514</v>
      </c>
      <c r="H137">
        <f t="shared" si="4"/>
        <v>0</v>
      </c>
      <c r="I137" s="20">
        <f t="shared" si="5"/>
        <v>43313</v>
      </c>
    </row>
    <row r="138" spans="1:9" x14ac:dyDescent="0.2">
      <c r="A138">
        <v>2018</v>
      </c>
      <c r="B138">
        <v>8</v>
      </c>
      <c r="C138" t="s">
        <v>55</v>
      </c>
      <c r="D138" t="s">
        <v>60</v>
      </c>
      <c r="E138" t="s">
        <v>61</v>
      </c>
      <c r="F138" s="14">
        <v>270950774</v>
      </c>
      <c r="G138" s="14">
        <v>180631297</v>
      </c>
      <c r="H138">
        <f t="shared" si="4"/>
        <v>0</v>
      </c>
      <c r="I138" s="20">
        <f t="shared" si="5"/>
        <v>43313</v>
      </c>
    </row>
    <row r="139" spans="1:9" x14ac:dyDescent="0.2">
      <c r="A139">
        <v>2018</v>
      </c>
      <c r="B139">
        <v>8</v>
      </c>
      <c r="C139" t="s">
        <v>62</v>
      </c>
      <c r="D139" t="s">
        <v>60</v>
      </c>
      <c r="E139" t="s">
        <v>63</v>
      </c>
      <c r="F139" s="14">
        <v>36330901</v>
      </c>
      <c r="G139" s="14">
        <v>21371118</v>
      </c>
      <c r="H139">
        <f t="shared" si="4"/>
        <v>0</v>
      </c>
      <c r="I139" s="20">
        <f t="shared" si="5"/>
        <v>43313</v>
      </c>
    </row>
    <row r="140" spans="1:9" x14ac:dyDescent="0.2">
      <c r="A140">
        <v>2018</v>
      </c>
      <c r="B140">
        <v>8</v>
      </c>
      <c r="C140" t="s">
        <v>55</v>
      </c>
      <c r="D140" t="s">
        <v>60</v>
      </c>
      <c r="E140" t="s">
        <v>63</v>
      </c>
      <c r="F140" s="14">
        <v>23606517</v>
      </c>
      <c r="G140" s="14">
        <v>13886150</v>
      </c>
      <c r="H140">
        <f t="shared" si="4"/>
        <v>0</v>
      </c>
      <c r="I140" s="20">
        <f t="shared" si="5"/>
        <v>43313</v>
      </c>
    </row>
    <row r="141" spans="1:9" x14ac:dyDescent="0.2">
      <c r="A141">
        <v>2018</v>
      </c>
      <c r="B141">
        <v>8</v>
      </c>
      <c r="C141" t="s">
        <v>64</v>
      </c>
      <c r="D141" t="s">
        <v>60</v>
      </c>
      <c r="E141" t="s">
        <v>61</v>
      </c>
      <c r="F141" s="14">
        <v>19531525</v>
      </c>
      <c r="G141" s="14">
        <v>13020993</v>
      </c>
      <c r="H141">
        <f t="shared" si="4"/>
        <v>0</v>
      </c>
      <c r="I141" s="20">
        <f t="shared" si="5"/>
        <v>43313</v>
      </c>
    </row>
    <row r="142" spans="1:9" x14ac:dyDescent="0.2">
      <c r="A142">
        <v>2018</v>
      </c>
      <c r="B142">
        <v>8</v>
      </c>
      <c r="C142" t="s">
        <v>55</v>
      </c>
      <c r="D142" t="s">
        <v>60</v>
      </c>
      <c r="E142" t="s">
        <v>65</v>
      </c>
      <c r="F142" s="14">
        <v>112378</v>
      </c>
      <c r="G142" s="14">
        <v>70236</v>
      </c>
      <c r="H142">
        <f t="shared" si="4"/>
        <v>1</v>
      </c>
      <c r="I142" s="20">
        <f t="shared" si="5"/>
        <v>43313</v>
      </c>
    </row>
    <row r="143" spans="1:9" x14ac:dyDescent="0.2">
      <c r="A143">
        <v>2018</v>
      </c>
      <c r="B143">
        <v>8</v>
      </c>
      <c r="C143" t="s">
        <v>64</v>
      </c>
      <c r="D143" t="s">
        <v>66</v>
      </c>
      <c r="E143" t="s">
        <v>68</v>
      </c>
      <c r="F143" s="14">
        <v>20110256</v>
      </c>
      <c r="G143" s="14">
        <v>20110256</v>
      </c>
      <c r="H143">
        <f t="shared" si="4"/>
        <v>0</v>
      </c>
      <c r="I143" s="20">
        <f t="shared" si="5"/>
        <v>43313</v>
      </c>
    </row>
    <row r="144" spans="1:9" x14ac:dyDescent="0.2">
      <c r="A144">
        <v>2018</v>
      </c>
      <c r="B144">
        <v>8</v>
      </c>
      <c r="C144" t="s">
        <v>55</v>
      </c>
      <c r="D144" t="s">
        <v>66</v>
      </c>
      <c r="E144" t="s">
        <v>63</v>
      </c>
      <c r="F144" s="14">
        <v>3635368</v>
      </c>
      <c r="G144" s="14">
        <v>2138451</v>
      </c>
      <c r="H144">
        <f t="shared" si="4"/>
        <v>0</v>
      </c>
      <c r="I144" s="20">
        <f t="shared" si="5"/>
        <v>43313</v>
      </c>
    </row>
    <row r="145" spans="1:9" x14ac:dyDescent="0.2">
      <c r="A145">
        <v>2018</v>
      </c>
      <c r="B145">
        <v>8</v>
      </c>
      <c r="C145" t="s">
        <v>55</v>
      </c>
      <c r="D145" t="s">
        <v>66</v>
      </c>
      <c r="E145" t="s">
        <v>67</v>
      </c>
      <c r="F145" s="14">
        <v>2672075</v>
      </c>
      <c r="G145" s="14">
        <v>1781383</v>
      </c>
      <c r="H145">
        <f t="shared" si="4"/>
        <v>0</v>
      </c>
      <c r="I145" s="20">
        <f t="shared" si="5"/>
        <v>43313</v>
      </c>
    </row>
    <row r="146" spans="1:9" x14ac:dyDescent="0.2">
      <c r="A146">
        <v>2018</v>
      </c>
      <c r="B146">
        <v>8</v>
      </c>
      <c r="C146" t="s">
        <v>55</v>
      </c>
      <c r="D146" t="s">
        <v>66</v>
      </c>
      <c r="E146" t="s">
        <v>68</v>
      </c>
      <c r="F146" s="14">
        <v>2143845</v>
      </c>
      <c r="G146" s="14">
        <v>2143845</v>
      </c>
      <c r="H146">
        <f t="shared" si="4"/>
        <v>0</v>
      </c>
      <c r="I146" s="20">
        <f t="shared" si="5"/>
        <v>43313</v>
      </c>
    </row>
    <row r="147" spans="1:9" x14ac:dyDescent="0.2">
      <c r="A147">
        <v>2018</v>
      </c>
      <c r="B147">
        <v>8</v>
      </c>
      <c r="C147" t="s">
        <v>55</v>
      </c>
      <c r="D147" t="s">
        <v>66</v>
      </c>
      <c r="E147" t="s">
        <v>59</v>
      </c>
      <c r="F147" s="14">
        <v>24246</v>
      </c>
      <c r="G147" s="14">
        <v>24246</v>
      </c>
      <c r="H147">
        <f t="shared" si="4"/>
        <v>0</v>
      </c>
      <c r="I147" s="20">
        <f t="shared" si="5"/>
        <v>43313</v>
      </c>
    </row>
    <row r="148" spans="1:9" x14ac:dyDescent="0.2">
      <c r="A148">
        <v>2018</v>
      </c>
      <c r="B148">
        <v>8</v>
      </c>
      <c r="C148" t="s">
        <v>55</v>
      </c>
      <c r="D148" t="s">
        <v>70</v>
      </c>
      <c r="E148" t="s">
        <v>68</v>
      </c>
      <c r="F148" s="14">
        <v>1339874231</v>
      </c>
      <c r="G148" s="14">
        <v>1339874231</v>
      </c>
      <c r="H148">
        <f t="shared" si="4"/>
        <v>0</v>
      </c>
      <c r="I148" s="20">
        <f t="shared" si="5"/>
        <v>43313</v>
      </c>
    </row>
    <row r="149" spans="1:9" x14ac:dyDescent="0.2">
      <c r="A149">
        <v>2018</v>
      </c>
      <c r="B149">
        <v>8</v>
      </c>
      <c r="C149" t="s">
        <v>62</v>
      </c>
      <c r="D149" t="s">
        <v>70</v>
      </c>
      <c r="E149" t="s">
        <v>63</v>
      </c>
      <c r="F149" s="14">
        <v>14321447</v>
      </c>
      <c r="G149" s="14">
        <v>8424380</v>
      </c>
      <c r="H149">
        <f t="shared" si="4"/>
        <v>0</v>
      </c>
      <c r="I149" s="20">
        <f t="shared" si="5"/>
        <v>43313</v>
      </c>
    </row>
    <row r="150" spans="1:9" x14ac:dyDescent="0.2">
      <c r="A150">
        <v>2018</v>
      </c>
      <c r="B150">
        <v>8</v>
      </c>
      <c r="C150" t="s">
        <v>64</v>
      </c>
      <c r="D150" t="s">
        <v>70</v>
      </c>
      <c r="E150" t="s">
        <v>68</v>
      </c>
      <c r="F150" s="14">
        <v>1228733</v>
      </c>
      <c r="G150" s="14">
        <v>1228733</v>
      </c>
      <c r="H150">
        <f t="shared" si="4"/>
        <v>0</v>
      </c>
      <c r="I150" s="20">
        <f t="shared" si="5"/>
        <v>43313</v>
      </c>
    </row>
    <row r="151" spans="1:9" x14ac:dyDescent="0.2">
      <c r="A151">
        <v>2018</v>
      </c>
      <c r="B151">
        <v>9</v>
      </c>
      <c r="C151" t="s">
        <v>55</v>
      </c>
      <c r="D151" t="s">
        <v>56</v>
      </c>
      <c r="E151" t="s">
        <v>59</v>
      </c>
      <c r="F151" s="14">
        <v>19518579</v>
      </c>
      <c r="G151" s="14">
        <v>19518579</v>
      </c>
      <c r="H151">
        <f t="shared" si="4"/>
        <v>0</v>
      </c>
      <c r="I151" s="20">
        <f t="shared" si="5"/>
        <v>43344</v>
      </c>
    </row>
    <row r="152" spans="1:9" x14ac:dyDescent="0.2">
      <c r="A152">
        <v>2018</v>
      </c>
      <c r="B152">
        <v>9</v>
      </c>
      <c r="C152" t="s">
        <v>55</v>
      </c>
      <c r="D152" t="s">
        <v>56</v>
      </c>
      <c r="E152" t="s">
        <v>58</v>
      </c>
      <c r="F152" s="14">
        <v>5465132</v>
      </c>
      <c r="G152" s="14">
        <v>5465132</v>
      </c>
      <c r="H152">
        <f t="shared" si="4"/>
        <v>0</v>
      </c>
      <c r="I152" s="20">
        <f t="shared" si="5"/>
        <v>43344</v>
      </c>
    </row>
    <row r="153" spans="1:9" x14ac:dyDescent="0.2">
      <c r="A153">
        <v>2018</v>
      </c>
      <c r="B153">
        <v>9</v>
      </c>
      <c r="C153" t="s">
        <v>64</v>
      </c>
      <c r="D153" t="s">
        <v>56</v>
      </c>
      <c r="E153" t="s">
        <v>58</v>
      </c>
      <c r="F153" s="14">
        <v>2715051</v>
      </c>
      <c r="G153" s="14">
        <v>2715051</v>
      </c>
      <c r="H153">
        <f t="shared" si="4"/>
        <v>0</v>
      </c>
      <c r="I153" s="20">
        <f t="shared" si="5"/>
        <v>43344</v>
      </c>
    </row>
    <row r="154" spans="1:9" x14ac:dyDescent="0.2">
      <c r="A154">
        <v>2018</v>
      </c>
      <c r="B154">
        <v>9</v>
      </c>
      <c r="C154" t="s">
        <v>55</v>
      </c>
      <c r="D154" t="s">
        <v>56</v>
      </c>
      <c r="E154" t="s">
        <v>57</v>
      </c>
      <c r="F154" s="14">
        <v>888689</v>
      </c>
      <c r="G154" s="14">
        <v>888689</v>
      </c>
      <c r="H154">
        <f t="shared" si="4"/>
        <v>0</v>
      </c>
      <c r="I154" s="20">
        <f t="shared" si="5"/>
        <v>43344</v>
      </c>
    </row>
    <row r="155" spans="1:9" x14ac:dyDescent="0.2">
      <c r="A155">
        <v>2018</v>
      </c>
      <c r="B155">
        <v>9</v>
      </c>
      <c r="C155" t="s">
        <v>64</v>
      </c>
      <c r="D155" t="s">
        <v>56</v>
      </c>
      <c r="E155" t="s">
        <v>59</v>
      </c>
      <c r="F155" s="14">
        <v>260744</v>
      </c>
      <c r="G155" s="14">
        <v>260744</v>
      </c>
      <c r="H155">
        <f t="shared" si="4"/>
        <v>0</v>
      </c>
      <c r="I155" s="20">
        <f t="shared" si="5"/>
        <v>43344</v>
      </c>
    </row>
    <row r="156" spans="1:9" x14ac:dyDescent="0.2">
      <c r="A156">
        <v>2018</v>
      </c>
      <c r="B156">
        <v>9</v>
      </c>
      <c r="C156" t="s">
        <v>55</v>
      </c>
      <c r="D156" t="s">
        <v>60</v>
      </c>
      <c r="E156" t="s">
        <v>61</v>
      </c>
      <c r="F156" s="14">
        <v>235512822</v>
      </c>
      <c r="G156" s="14">
        <v>157006356</v>
      </c>
      <c r="H156">
        <f t="shared" si="4"/>
        <v>0</v>
      </c>
      <c r="I156" s="20">
        <f t="shared" si="5"/>
        <v>43344</v>
      </c>
    </row>
    <row r="157" spans="1:9" x14ac:dyDescent="0.2">
      <c r="A157">
        <v>2018</v>
      </c>
      <c r="B157">
        <v>9</v>
      </c>
      <c r="C157" t="s">
        <v>55</v>
      </c>
      <c r="D157" t="s">
        <v>60</v>
      </c>
      <c r="E157" t="s">
        <v>63</v>
      </c>
      <c r="F157" s="14">
        <v>48651114</v>
      </c>
      <c r="G157" s="14">
        <v>28618283</v>
      </c>
      <c r="H157">
        <f t="shared" si="4"/>
        <v>0</v>
      </c>
      <c r="I157" s="20">
        <f t="shared" si="5"/>
        <v>43344</v>
      </c>
    </row>
    <row r="158" spans="1:9" x14ac:dyDescent="0.2">
      <c r="A158">
        <v>2018</v>
      </c>
      <c r="B158">
        <v>9</v>
      </c>
      <c r="C158" t="s">
        <v>62</v>
      </c>
      <c r="D158" t="s">
        <v>60</v>
      </c>
      <c r="E158" t="s">
        <v>63</v>
      </c>
      <c r="F158" s="14">
        <v>28109173</v>
      </c>
      <c r="G158" s="14">
        <v>16534807</v>
      </c>
      <c r="H158">
        <f t="shared" si="4"/>
        <v>0</v>
      </c>
      <c r="I158" s="20">
        <f t="shared" si="5"/>
        <v>43344</v>
      </c>
    </row>
    <row r="159" spans="1:9" x14ac:dyDescent="0.2">
      <c r="A159">
        <v>2018</v>
      </c>
      <c r="B159">
        <v>9</v>
      </c>
      <c r="C159" t="s">
        <v>64</v>
      </c>
      <c r="D159" t="s">
        <v>60</v>
      </c>
      <c r="E159" t="s">
        <v>61</v>
      </c>
      <c r="F159" s="14">
        <v>17722046</v>
      </c>
      <c r="G159" s="14">
        <v>11814679</v>
      </c>
      <c r="H159">
        <f t="shared" si="4"/>
        <v>0</v>
      </c>
      <c r="I159" s="20">
        <f t="shared" si="5"/>
        <v>43344</v>
      </c>
    </row>
    <row r="160" spans="1:9" x14ac:dyDescent="0.2">
      <c r="A160">
        <v>2018</v>
      </c>
      <c r="B160">
        <v>9</v>
      </c>
      <c r="C160" t="s">
        <v>55</v>
      </c>
      <c r="D160" t="s">
        <v>60</v>
      </c>
      <c r="E160" t="s">
        <v>65</v>
      </c>
      <c r="F160" s="14">
        <v>241731</v>
      </c>
      <c r="G160" s="14">
        <v>151082</v>
      </c>
      <c r="H160">
        <f t="shared" si="4"/>
        <v>1</v>
      </c>
      <c r="I160" s="20">
        <f t="shared" si="5"/>
        <v>43344</v>
      </c>
    </row>
    <row r="161" spans="1:9" x14ac:dyDescent="0.2">
      <c r="A161">
        <v>2018</v>
      </c>
      <c r="B161">
        <v>9</v>
      </c>
      <c r="C161" t="s">
        <v>55</v>
      </c>
      <c r="D161" t="s">
        <v>66</v>
      </c>
      <c r="E161" t="s">
        <v>63</v>
      </c>
      <c r="F161" s="14">
        <v>6171296</v>
      </c>
      <c r="G161" s="14">
        <v>3630173</v>
      </c>
      <c r="H161">
        <f t="shared" si="4"/>
        <v>0</v>
      </c>
      <c r="I161" s="20">
        <f t="shared" si="5"/>
        <v>43344</v>
      </c>
    </row>
    <row r="162" spans="1:9" x14ac:dyDescent="0.2">
      <c r="A162">
        <v>2018</v>
      </c>
      <c r="B162">
        <v>9</v>
      </c>
      <c r="C162" t="s">
        <v>55</v>
      </c>
      <c r="D162" t="s">
        <v>66</v>
      </c>
      <c r="E162" t="s">
        <v>67</v>
      </c>
      <c r="F162" s="14">
        <v>4211843</v>
      </c>
      <c r="G162" s="14">
        <v>2807894</v>
      </c>
      <c r="H162">
        <f t="shared" si="4"/>
        <v>0</v>
      </c>
      <c r="I162" s="20">
        <f t="shared" si="5"/>
        <v>43344</v>
      </c>
    </row>
    <row r="163" spans="1:9" x14ac:dyDescent="0.2">
      <c r="A163">
        <v>2018</v>
      </c>
      <c r="B163">
        <v>9</v>
      </c>
      <c r="C163" t="s">
        <v>64</v>
      </c>
      <c r="D163" t="s">
        <v>66</v>
      </c>
      <c r="E163" t="s">
        <v>68</v>
      </c>
      <c r="F163" s="14">
        <v>4202525</v>
      </c>
      <c r="G163" s="14">
        <v>4202525</v>
      </c>
      <c r="H163">
        <f t="shared" si="4"/>
        <v>0</v>
      </c>
      <c r="I163" s="20">
        <f t="shared" si="5"/>
        <v>43344</v>
      </c>
    </row>
    <row r="164" spans="1:9" x14ac:dyDescent="0.2">
      <c r="A164">
        <v>2018</v>
      </c>
      <c r="B164">
        <v>9</v>
      </c>
      <c r="C164" t="s">
        <v>55</v>
      </c>
      <c r="D164" t="s">
        <v>66</v>
      </c>
      <c r="E164" t="s">
        <v>68</v>
      </c>
      <c r="F164" s="14">
        <v>2068219</v>
      </c>
      <c r="G164" s="14">
        <v>2068219</v>
      </c>
      <c r="H164">
        <f t="shared" si="4"/>
        <v>0</v>
      </c>
      <c r="I164" s="20">
        <f t="shared" si="5"/>
        <v>43344</v>
      </c>
    </row>
    <row r="165" spans="1:9" x14ac:dyDescent="0.2">
      <c r="A165">
        <v>2018</v>
      </c>
      <c r="B165">
        <v>9</v>
      </c>
      <c r="C165" t="s">
        <v>55</v>
      </c>
      <c r="D165" t="s">
        <v>66</v>
      </c>
      <c r="E165" t="s">
        <v>69</v>
      </c>
      <c r="F165" s="14">
        <v>36376</v>
      </c>
      <c r="G165" s="14">
        <v>22735</v>
      </c>
      <c r="H165">
        <f t="shared" si="4"/>
        <v>0</v>
      </c>
      <c r="I165" s="20">
        <f t="shared" si="5"/>
        <v>43344</v>
      </c>
    </row>
    <row r="166" spans="1:9" x14ac:dyDescent="0.2">
      <c r="A166">
        <v>2018</v>
      </c>
      <c r="B166">
        <v>9</v>
      </c>
      <c r="C166" t="s">
        <v>55</v>
      </c>
      <c r="D166" t="s">
        <v>66</v>
      </c>
      <c r="E166" t="s">
        <v>59</v>
      </c>
      <c r="F166" s="14">
        <v>23560</v>
      </c>
      <c r="G166" s="14">
        <v>23560</v>
      </c>
      <c r="H166">
        <f t="shared" si="4"/>
        <v>0</v>
      </c>
      <c r="I166" s="20">
        <f t="shared" si="5"/>
        <v>43344</v>
      </c>
    </row>
    <row r="167" spans="1:9" x14ac:dyDescent="0.2">
      <c r="A167">
        <v>2018</v>
      </c>
      <c r="B167">
        <v>9</v>
      </c>
      <c r="C167" t="s">
        <v>55</v>
      </c>
      <c r="D167" t="s">
        <v>70</v>
      </c>
      <c r="E167" t="s">
        <v>68</v>
      </c>
      <c r="F167" s="14">
        <v>1205946718</v>
      </c>
      <c r="G167" s="14">
        <v>1205946718</v>
      </c>
      <c r="H167">
        <f t="shared" si="4"/>
        <v>0</v>
      </c>
      <c r="I167" s="20">
        <f t="shared" si="5"/>
        <v>43344</v>
      </c>
    </row>
    <row r="168" spans="1:9" x14ac:dyDescent="0.2">
      <c r="A168">
        <v>2018</v>
      </c>
      <c r="B168">
        <v>9</v>
      </c>
      <c r="C168" t="s">
        <v>62</v>
      </c>
      <c r="D168" t="s">
        <v>70</v>
      </c>
      <c r="E168" t="s">
        <v>63</v>
      </c>
      <c r="F168" s="14">
        <v>9966736</v>
      </c>
      <c r="G168" s="14">
        <v>5862786</v>
      </c>
      <c r="H168">
        <f t="shared" si="4"/>
        <v>0</v>
      </c>
      <c r="I168" s="20">
        <f t="shared" si="5"/>
        <v>43344</v>
      </c>
    </row>
    <row r="169" spans="1:9" x14ac:dyDescent="0.2">
      <c r="A169">
        <v>2018</v>
      </c>
      <c r="B169">
        <v>9</v>
      </c>
      <c r="C169" t="s">
        <v>64</v>
      </c>
      <c r="D169" t="s">
        <v>70</v>
      </c>
      <c r="E169" t="s">
        <v>68</v>
      </c>
      <c r="F169" s="14">
        <v>1038106</v>
      </c>
      <c r="G169" s="14">
        <v>1038106</v>
      </c>
      <c r="H169">
        <f t="shared" si="4"/>
        <v>0</v>
      </c>
      <c r="I169" s="20">
        <f t="shared" si="5"/>
        <v>43344</v>
      </c>
    </row>
    <row r="170" spans="1:9" x14ac:dyDescent="0.2">
      <c r="A170">
        <v>2018</v>
      </c>
      <c r="B170">
        <v>10</v>
      </c>
      <c r="C170" t="s">
        <v>55</v>
      </c>
      <c r="D170" t="s">
        <v>56</v>
      </c>
      <c r="E170" t="s">
        <v>59</v>
      </c>
      <c r="F170" s="14">
        <v>19797994</v>
      </c>
      <c r="G170" s="14">
        <v>19797994</v>
      </c>
      <c r="H170">
        <f t="shared" si="4"/>
        <v>0</v>
      </c>
      <c r="I170" s="20">
        <f t="shared" si="5"/>
        <v>43374</v>
      </c>
    </row>
    <row r="171" spans="1:9" x14ac:dyDescent="0.2">
      <c r="A171">
        <v>2018</v>
      </c>
      <c r="B171">
        <v>10</v>
      </c>
      <c r="C171" t="s">
        <v>55</v>
      </c>
      <c r="D171" t="s">
        <v>56</v>
      </c>
      <c r="E171" t="s">
        <v>58</v>
      </c>
      <c r="F171" s="14">
        <v>5739552</v>
      </c>
      <c r="G171" s="14">
        <v>5739552</v>
      </c>
      <c r="H171">
        <f t="shared" si="4"/>
        <v>0</v>
      </c>
      <c r="I171" s="20">
        <f t="shared" si="5"/>
        <v>43374</v>
      </c>
    </row>
    <row r="172" spans="1:9" x14ac:dyDescent="0.2">
      <c r="A172">
        <v>2018</v>
      </c>
      <c r="B172">
        <v>10</v>
      </c>
      <c r="C172" t="s">
        <v>64</v>
      </c>
      <c r="D172" t="s">
        <v>56</v>
      </c>
      <c r="E172" t="s">
        <v>58</v>
      </c>
      <c r="F172" s="14">
        <v>1907499</v>
      </c>
      <c r="G172" s="14">
        <v>1907499</v>
      </c>
      <c r="H172">
        <f t="shared" si="4"/>
        <v>0</v>
      </c>
      <c r="I172" s="20">
        <f t="shared" si="5"/>
        <v>43374</v>
      </c>
    </row>
    <row r="173" spans="1:9" x14ac:dyDescent="0.2">
      <c r="A173">
        <v>2018</v>
      </c>
      <c r="B173">
        <v>10</v>
      </c>
      <c r="C173" t="s">
        <v>64</v>
      </c>
      <c r="D173" t="s">
        <v>56</v>
      </c>
      <c r="E173" t="s">
        <v>59</v>
      </c>
      <c r="F173" s="14">
        <v>1114044</v>
      </c>
      <c r="G173" s="14">
        <v>1114044</v>
      </c>
      <c r="H173">
        <f t="shared" si="4"/>
        <v>0</v>
      </c>
      <c r="I173" s="20">
        <f t="shared" si="5"/>
        <v>43374</v>
      </c>
    </row>
    <row r="174" spans="1:9" x14ac:dyDescent="0.2">
      <c r="A174">
        <v>2018</v>
      </c>
      <c r="B174">
        <v>10</v>
      </c>
      <c r="C174" t="s">
        <v>55</v>
      </c>
      <c r="D174" t="s">
        <v>56</v>
      </c>
      <c r="E174" t="s">
        <v>57</v>
      </c>
      <c r="F174" s="14">
        <v>439426</v>
      </c>
      <c r="G174" s="14">
        <v>439426</v>
      </c>
      <c r="H174">
        <f t="shared" si="4"/>
        <v>0</v>
      </c>
      <c r="I174" s="20">
        <f t="shared" si="5"/>
        <v>43374</v>
      </c>
    </row>
    <row r="175" spans="1:9" x14ac:dyDescent="0.2">
      <c r="A175">
        <v>2018</v>
      </c>
      <c r="B175">
        <v>10</v>
      </c>
      <c r="C175" t="s">
        <v>55</v>
      </c>
      <c r="D175" t="s">
        <v>60</v>
      </c>
      <c r="E175" t="s">
        <v>61</v>
      </c>
      <c r="F175" s="14">
        <v>256420992</v>
      </c>
      <c r="G175" s="14">
        <v>170944979</v>
      </c>
      <c r="H175">
        <f t="shared" si="4"/>
        <v>0</v>
      </c>
      <c r="I175" s="20">
        <f t="shared" si="5"/>
        <v>43374</v>
      </c>
    </row>
    <row r="176" spans="1:9" x14ac:dyDescent="0.2">
      <c r="A176">
        <v>2018</v>
      </c>
      <c r="B176">
        <v>10</v>
      </c>
      <c r="C176" t="s">
        <v>55</v>
      </c>
      <c r="D176" t="s">
        <v>60</v>
      </c>
      <c r="E176" t="s">
        <v>63</v>
      </c>
      <c r="F176" s="14">
        <v>61039850</v>
      </c>
      <c r="G176" s="14">
        <v>35905766</v>
      </c>
      <c r="H176">
        <f t="shared" si="4"/>
        <v>0</v>
      </c>
      <c r="I176" s="20">
        <f t="shared" si="5"/>
        <v>43374</v>
      </c>
    </row>
    <row r="177" spans="1:9" x14ac:dyDescent="0.2">
      <c r="A177">
        <v>2018</v>
      </c>
      <c r="B177">
        <v>10</v>
      </c>
      <c r="C177" t="s">
        <v>64</v>
      </c>
      <c r="D177" t="s">
        <v>60</v>
      </c>
      <c r="E177" t="s">
        <v>61</v>
      </c>
      <c r="F177" s="14">
        <v>30482177</v>
      </c>
      <c r="G177" s="14">
        <v>20321432</v>
      </c>
      <c r="H177">
        <f t="shared" si="4"/>
        <v>0</v>
      </c>
      <c r="I177" s="20">
        <f t="shared" si="5"/>
        <v>43374</v>
      </c>
    </row>
    <row r="178" spans="1:9" x14ac:dyDescent="0.2">
      <c r="A178">
        <v>2018</v>
      </c>
      <c r="B178">
        <v>10</v>
      </c>
      <c r="C178" t="s">
        <v>55</v>
      </c>
      <c r="D178" t="s">
        <v>60</v>
      </c>
      <c r="E178" t="s">
        <v>65</v>
      </c>
      <c r="F178" s="14">
        <v>366543</v>
      </c>
      <c r="G178" s="14">
        <v>229089</v>
      </c>
      <c r="H178">
        <f t="shared" si="4"/>
        <v>1</v>
      </c>
      <c r="I178" s="20">
        <f t="shared" si="5"/>
        <v>43374</v>
      </c>
    </row>
    <row r="179" spans="1:9" x14ac:dyDescent="0.2">
      <c r="A179">
        <v>2018</v>
      </c>
      <c r="B179">
        <v>10</v>
      </c>
      <c r="C179" t="s">
        <v>64</v>
      </c>
      <c r="D179" t="s">
        <v>66</v>
      </c>
      <c r="E179" t="s">
        <v>68</v>
      </c>
      <c r="F179" s="14">
        <v>19292506</v>
      </c>
      <c r="G179" s="14">
        <v>19292506</v>
      </c>
      <c r="H179">
        <f t="shared" si="4"/>
        <v>0</v>
      </c>
      <c r="I179" s="20">
        <f t="shared" si="5"/>
        <v>43374</v>
      </c>
    </row>
    <row r="180" spans="1:9" x14ac:dyDescent="0.2">
      <c r="A180">
        <v>2018</v>
      </c>
      <c r="B180">
        <v>10</v>
      </c>
      <c r="C180" t="s">
        <v>55</v>
      </c>
      <c r="D180" t="s">
        <v>66</v>
      </c>
      <c r="E180" t="s">
        <v>63</v>
      </c>
      <c r="F180" s="14">
        <v>5269287</v>
      </c>
      <c r="G180" s="14">
        <v>3099580</v>
      </c>
      <c r="H180">
        <f t="shared" si="4"/>
        <v>0</v>
      </c>
      <c r="I180" s="20">
        <f t="shared" si="5"/>
        <v>43374</v>
      </c>
    </row>
    <row r="181" spans="1:9" x14ac:dyDescent="0.2">
      <c r="A181">
        <v>2018</v>
      </c>
      <c r="B181">
        <v>10</v>
      </c>
      <c r="C181" t="s">
        <v>55</v>
      </c>
      <c r="D181" t="s">
        <v>66</v>
      </c>
      <c r="E181" t="s">
        <v>67</v>
      </c>
      <c r="F181" s="14">
        <v>3339313</v>
      </c>
      <c r="G181" s="14">
        <v>2226208</v>
      </c>
      <c r="H181">
        <f t="shared" si="4"/>
        <v>0</v>
      </c>
      <c r="I181" s="20">
        <f t="shared" si="5"/>
        <v>43374</v>
      </c>
    </row>
    <row r="182" spans="1:9" x14ac:dyDescent="0.2">
      <c r="A182">
        <v>2018</v>
      </c>
      <c r="B182">
        <v>10</v>
      </c>
      <c r="C182" t="s">
        <v>55</v>
      </c>
      <c r="D182" t="s">
        <v>66</v>
      </c>
      <c r="E182" t="s">
        <v>68</v>
      </c>
      <c r="F182" s="14">
        <v>2077899</v>
      </c>
      <c r="G182" s="14">
        <v>2077899</v>
      </c>
      <c r="H182">
        <f t="shared" si="4"/>
        <v>0</v>
      </c>
      <c r="I182" s="20">
        <f t="shared" si="5"/>
        <v>43374</v>
      </c>
    </row>
    <row r="183" spans="1:9" x14ac:dyDescent="0.2">
      <c r="A183">
        <v>2018</v>
      </c>
      <c r="B183">
        <v>10</v>
      </c>
      <c r="C183" t="s">
        <v>55</v>
      </c>
      <c r="D183" t="s">
        <v>66</v>
      </c>
      <c r="E183" t="s">
        <v>69</v>
      </c>
      <c r="F183" s="14">
        <v>141969</v>
      </c>
      <c r="G183" s="14">
        <v>88731</v>
      </c>
      <c r="H183">
        <f t="shared" si="4"/>
        <v>0</v>
      </c>
      <c r="I183" s="20">
        <f t="shared" si="5"/>
        <v>43374</v>
      </c>
    </row>
    <row r="184" spans="1:9" x14ac:dyDescent="0.2">
      <c r="A184">
        <v>2018</v>
      </c>
      <c r="B184">
        <v>10</v>
      </c>
      <c r="C184" t="s">
        <v>55</v>
      </c>
      <c r="D184" t="s">
        <v>66</v>
      </c>
      <c r="E184" t="s">
        <v>59</v>
      </c>
      <c r="F184" s="14">
        <v>18751</v>
      </c>
      <c r="G184" s="14">
        <v>18751</v>
      </c>
      <c r="H184">
        <f t="shared" si="4"/>
        <v>0</v>
      </c>
      <c r="I184" s="20">
        <f t="shared" si="5"/>
        <v>43374</v>
      </c>
    </row>
    <row r="185" spans="1:9" x14ac:dyDescent="0.2">
      <c r="A185">
        <v>2018</v>
      </c>
      <c r="B185">
        <v>10</v>
      </c>
      <c r="C185" t="s">
        <v>55</v>
      </c>
      <c r="D185" t="s">
        <v>70</v>
      </c>
      <c r="E185" t="s">
        <v>68</v>
      </c>
      <c r="F185" s="14">
        <v>1268756030</v>
      </c>
      <c r="G185" s="14">
        <v>1268756030</v>
      </c>
      <c r="H185">
        <f t="shared" si="4"/>
        <v>0</v>
      </c>
      <c r="I185" s="20">
        <f t="shared" si="5"/>
        <v>43374</v>
      </c>
    </row>
    <row r="186" spans="1:9" x14ac:dyDescent="0.2">
      <c r="A186">
        <v>2018</v>
      </c>
      <c r="B186">
        <v>10</v>
      </c>
      <c r="C186" t="s">
        <v>64</v>
      </c>
      <c r="D186" t="s">
        <v>70</v>
      </c>
      <c r="E186" t="s">
        <v>68</v>
      </c>
      <c r="F186" s="14">
        <v>1136344</v>
      </c>
      <c r="G186" s="14">
        <v>1136344</v>
      </c>
      <c r="H186">
        <f t="shared" si="4"/>
        <v>0</v>
      </c>
      <c r="I186" s="20">
        <f t="shared" si="5"/>
        <v>43374</v>
      </c>
    </row>
    <row r="187" spans="1:9" x14ac:dyDescent="0.2">
      <c r="A187">
        <v>2018</v>
      </c>
      <c r="B187">
        <v>10</v>
      </c>
      <c r="C187" t="s">
        <v>55</v>
      </c>
      <c r="D187" t="s">
        <v>70</v>
      </c>
      <c r="E187" t="s">
        <v>61</v>
      </c>
      <c r="F187" s="14">
        <v>497892</v>
      </c>
      <c r="G187" s="14">
        <v>331927</v>
      </c>
      <c r="H187">
        <f t="shared" si="4"/>
        <v>0</v>
      </c>
      <c r="I187" s="20">
        <f t="shared" si="5"/>
        <v>43374</v>
      </c>
    </row>
    <row r="188" spans="1:9" x14ac:dyDescent="0.2">
      <c r="A188">
        <v>2018</v>
      </c>
      <c r="B188">
        <v>10</v>
      </c>
      <c r="C188" t="s">
        <v>64</v>
      </c>
      <c r="D188" t="s">
        <v>71</v>
      </c>
      <c r="E188" t="s">
        <v>72</v>
      </c>
      <c r="F188" s="14">
        <v>533819</v>
      </c>
      <c r="G188" s="14">
        <v>533819</v>
      </c>
      <c r="H188">
        <f t="shared" si="4"/>
        <v>0</v>
      </c>
      <c r="I188" s="20">
        <f t="shared" si="5"/>
        <v>43374</v>
      </c>
    </row>
    <row r="189" spans="1:9" x14ac:dyDescent="0.2">
      <c r="A189">
        <v>2018</v>
      </c>
      <c r="B189">
        <v>11</v>
      </c>
      <c r="C189" t="s">
        <v>55</v>
      </c>
      <c r="D189" t="s">
        <v>56</v>
      </c>
      <c r="E189" t="s">
        <v>59</v>
      </c>
      <c r="F189" s="14">
        <v>19064110</v>
      </c>
      <c r="G189" s="14">
        <v>19064110</v>
      </c>
      <c r="H189">
        <f t="shared" si="4"/>
        <v>0</v>
      </c>
      <c r="I189" s="20">
        <f t="shared" si="5"/>
        <v>43405</v>
      </c>
    </row>
    <row r="190" spans="1:9" x14ac:dyDescent="0.2">
      <c r="A190">
        <v>2018</v>
      </c>
      <c r="B190">
        <v>11</v>
      </c>
      <c r="C190" t="s">
        <v>55</v>
      </c>
      <c r="D190" t="s">
        <v>56</v>
      </c>
      <c r="E190" t="s">
        <v>58</v>
      </c>
      <c r="F190" s="14">
        <v>5018307</v>
      </c>
      <c r="G190" s="14">
        <v>5018307</v>
      </c>
      <c r="H190">
        <f t="shared" si="4"/>
        <v>0</v>
      </c>
      <c r="I190" s="20">
        <f t="shared" si="5"/>
        <v>43405</v>
      </c>
    </row>
    <row r="191" spans="1:9" x14ac:dyDescent="0.2">
      <c r="A191">
        <v>2018</v>
      </c>
      <c r="B191">
        <v>11</v>
      </c>
      <c r="C191" t="s">
        <v>64</v>
      </c>
      <c r="D191" t="s">
        <v>56</v>
      </c>
      <c r="E191" t="s">
        <v>58</v>
      </c>
      <c r="F191" s="14">
        <v>2109830</v>
      </c>
      <c r="G191" s="14">
        <v>2109830</v>
      </c>
      <c r="H191">
        <f t="shared" si="4"/>
        <v>0</v>
      </c>
      <c r="I191" s="20">
        <f t="shared" si="5"/>
        <v>43405</v>
      </c>
    </row>
    <row r="192" spans="1:9" x14ac:dyDescent="0.2">
      <c r="A192">
        <v>2018</v>
      </c>
      <c r="B192">
        <v>11</v>
      </c>
      <c r="C192" t="s">
        <v>64</v>
      </c>
      <c r="D192" t="s">
        <v>56</v>
      </c>
      <c r="E192" t="s">
        <v>59</v>
      </c>
      <c r="F192" s="14">
        <v>1057401</v>
      </c>
      <c r="G192" s="14">
        <v>1057401</v>
      </c>
      <c r="H192">
        <f t="shared" si="4"/>
        <v>0</v>
      </c>
      <c r="I192" s="20">
        <f t="shared" si="5"/>
        <v>43405</v>
      </c>
    </row>
    <row r="193" spans="1:9" x14ac:dyDescent="0.2">
      <c r="A193">
        <v>2018</v>
      </c>
      <c r="B193">
        <v>11</v>
      </c>
      <c r="C193" t="s">
        <v>55</v>
      </c>
      <c r="D193" t="s">
        <v>56</v>
      </c>
      <c r="E193" t="s">
        <v>57</v>
      </c>
      <c r="F193" s="14">
        <v>389828</v>
      </c>
      <c r="G193" s="14">
        <v>389828</v>
      </c>
      <c r="H193">
        <f t="shared" si="4"/>
        <v>0</v>
      </c>
      <c r="I193" s="20">
        <f t="shared" si="5"/>
        <v>43405</v>
      </c>
    </row>
    <row r="194" spans="1:9" x14ac:dyDescent="0.2">
      <c r="A194">
        <v>2018</v>
      </c>
      <c r="B194">
        <v>11</v>
      </c>
      <c r="C194" t="s">
        <v>55</v>
      </c>
      <c r="D194" t="s">
        <v>60</v>
      </c>
      <c r="E194" t="s">
        <v>61</v>
      </c>
      <c r="F194" s="14">
        <v>226173830</v>
      </c>
      <c r="G194" s="14">
        <v>150780540</v>
      </c>
      <c r="H194">
        <f t="shared" si="4"/>
        <v>0</v>
      </c>
      <c r="I194" s="20">
        <f t="shared" si="5"/>
        <v>43405</v>
      </c>
    </row>
    <row r="195" spans="1:9" x14ac:dyDescent="0.2">
      <c r="A195">
        <v>2018</v>
      </c>
      <c r="B195">
        <v>11</v>
      </c>
      <c r="C195" t="s">
        <v>55</v>
      </c>
      <c r="D195" t="s">
        <v>60</v>
      </c>
      <c r="E195" t="s">
        <v>63</v>
      </c>
      <c r="F195" s="14">
        <v>62681924</v>
      </c>
      <c r="G195" s="14">
        <v>36871698</v>
      </c>
      <c r="H195">
        <f t="shared" ref="H195:H258" si="6">--ISNUMBER(SEARCH("Jet Fuel",E195))</f>
        <v>0</v>
      </c>
      <c r="I195" s="20">
        <f t="shared" ref="I195:I258" si="7">DATE(A195,B195,1)</f>
        <v>43405</v>
      </c>
    </row>
    <row r="196" spans="1:9" x14ac:dyDescent="0.2">
      <c r="A196">
        <v>2018</v>
      </c>
      <c r="B196">
        <v>11</v>
      </c>
      <c r="C196" t="s">
        <v>64</v>
      </c>
      <c r="D196" t="s">
        <v>60</v>
      </c>
      <c r="E196" t="s">
        <v>61</v>
      </c>
      <c r="F196" s="14">
        <v>19380565</v>
      </c>
      <c r="G196" s="14">
        <v>12920360</v>
      </c>
      <c r="H196">
        <f t="shared" si="6"/>
        <v>0</v>
      </c>
      <c r="I196" s="20">
        <f t="shared" si="7"/>
        <v>43405</v>
      </c>
    </row>
    <row r="197" spans="1:9" x14ac:dyDescent="0.2">
      <c r="A197">
        <v>2018</v>
      </c>
      <c r="B197">
        <v>11</v>
      </c>
      <c r="C197" t="s">
        <v>62</v>
      </c>
      <c r="D197" t="s">
        <v>60</v>
      </c>
      <c r="E197" t="s">
        <v>63</v>
      </c>
      <c r="F197" s="14">
        <v>18173877</v>
      </c>
      <c r="G197" s="14">
        <v>10690516</v>
      </c>
      <c r="H197">
        <f t="shared" si="6"/>
        <v>0</v>
      </c>
      <c r="I197" s="20">
        <f t="shared" si="7"/>
        <v>43405</v>
      </c>
    </row>
    <row r="198" spans="1:9" x14ac:dyDescent="0.2">
      <c r="A198">
        <v>2018</v>
      </c>
      <c r="B198">
        <v>11</v>
      </c>
      <c r="C198" t="s">
        <v>55</v>
      </c>
      <c r="D198" t="s">
        <v>60</v>
      </c>
      <c r="E198" t="s">
        <v>65</v>
      </c>
      <c r="F198" s="14">
        <v>244453</v>
      </c>
      <c r="G198" s="14">
        <v>152783</v>
      </c>
      <c r="H198">
        <f t="shared" si="6"/>
        <v>1</v>
      </c>
      <c r="I198" s="20">
        <f t="shared" si="7"/>
        <v>43405</v>
      </c>
    </row>
    <row r="199" spans="1:9" x14ac:dyDescent="0.2">
      <c r="A199">
        <v>2018</v>
      </c>
      <c r="B199">
        <v>11</v>
      </c>
      <c r="C199" t="s">
        <v>64</v>
      </c>
      <c r="D199" t="s">
        <v>66</v>
      </c>
      <c r="E199" t="s">
        <v>68</v>
      </c>
      <c r="F199" s="14">
        <v>10885655</v>
      </c>
      <c r="G199" s="14">
        <v>10885655</v>
      </c>
      <c r="H199">
        <f t="shared" si="6"/>
        <v>0</v>
      </c>
      <c r="I199" s="20">
        <f t="shared" si="7"/>
        <v>43405</v>
      </c>
    </row>
    <row r="200" spans="1:9" x14ac:dyDescent="0.2">
      <c r="A200">
        <v>2018</v>
      </c>
      <c r="B200">
        <v>11</v>
      </c>
      <c r="C200" t="s">
        <v>55</v>
      </c>
      <c r="D200" t="s">
        <v>66</v>
      </c>
      <c r="E200" t="s">
        <v>63</v>
      </c>
      <c r="F200" s="14">
        <v>5871294</v>
      </c>
      <c r="G200" s="14">
        <v>3453701</v>
      </c>
      <c r="H200">
        <f t="shared" si="6"/>
        <v>0</v>
      </c>
      <c r="I200" s="20">
        <f t="shared" si="7"/>
        <v>43405</v>
      </c>
    </row>
    <row r="201" spans="1:9" x14ac:dyDescent="0.2">
      <c r="A201">
        <v>2018</v>
      </c>
      <c r="B201">
        <v>11</v>
      </c>
      <c r="C201" t="s">
        <v>55</v>
      </c>
      <c r="D201" t="s">
        <v>66</v>
      </c>
      <c r="E201" t="s">
        <v>67</v>
      </c>
      <c r="F201" s="14">
        <v>3122007</v>
      </c>
      <c r="G201" s="14">
        <v>2081337</v>
      </c>
      <c r="H201">
        <f t="shared" si="6"/>
        <v>0</v>
      </c>
      <c r="I201" s="20">
        <f t="shared" si="7"/>
        <v>43405</v>
      </c>
    </row>
    <row r="202" spans="1:9" x14ac:dyDescent="0.2">
      <c r="A202">
        <v>2018</v>
      </c>
      <c r="B202">
        <v>11</v>
      </c>
      <c r="C202" t="s">
        <v>55</v>
      </c>
      <c r="D202" t="s">
        <v>66</v>
      </c>
      <c r="E202" t="s">
        <v>68</v>
      </c>
      <c r="F202" s="14">
        <v>1930932</v>
      </c>
      <c r="G202" s="14">
        <v>1930932</v>
      </c>
      <c r="H202">
        <f t="shared" si="6"/>
        <v>0</v>
      </c>
      <c r="I202" s="20">
        <f t="shared" si="7"/>
        <v>43405</v>
      </c>
    </row>
    <row r="203" spans="1:9" x14ac:dyDescent="0.2">
      <c r="A203">
        <v>2018</v>
      </c>
      <c r="B203">
        <v>11</v>
      </c>
      <c r="C203" t="s">
        <v>55</v>
      </c>
      <c r="D203" t="s">
        <v>66</v>
      </c>
      <c r="E203" t="s">
        <v>69</v>
      </c>
      <c r="F203" s="14">
        <v>481083</v>
      </c>
      <c r="G203" s="14">
        <v>300676</v>
      </c>
      <c r="H203">
        <f t="shared" si="6"/>
        <v>0</v>
      </c>
      <c r="I203" s="20">
        <f t="shared" si="7"/>
        <v>43405</v>
      </c>
    </row>
    <row r="204" spans="1:9" x14ac:dyDescent="0.2">
      <c r="A204">
        <v>2018</v>
      </c>
      <c r="B204">
        <v>11</v>
      </c>
      <c r="C204" t="s">
        <v>55</v>
      </c>
      <c r="D204" t="s">
        <v>66</v>
      </c>
      <c r="E204" t="s">
        <v>74</v>
      </c>
      <c r="F204" s="14">
        <v>203287</v>
      </c>
      <c r="G204" s="14">
        <v>184806</v>
      </c>
      <c r="H204">
        <f t="shared" si="6"/>
        <v>0</v>
      </c>
      <c r="I204" s="20">
        <f t="shared" si="7"/>
        <v>43405</v>
      </c>
    </row>
    <row r="205" spans="1:9" x14ac:dyDescent="0.2">
      <c r="A205">
        <v>2018</v>
      </c>
      <c r="B205">
        <v>11</v>
      </c>
      <c r="C205" t="s">
        <v>55</v>
      </c>
      <c r="D205" t="s">
        <v>66</v>
      </c>
      <c r="E205" t="s">
        <v>59</v>
      </c>
      <c r="F205" s="14">
        <v>47026</v>
      </c>
      <c r="G205" s="14">
        <v>47026</v>
      </c>
      <c r="H205">
        <f t="shared" si="6"/>
        <v>0</v>
      </c>
      <c r="I205" s="20">
        <f t="shared" si="7"/>
        <v>43405</v>
      </c>
    </row>
    <row r="206" spans="1:9" x14ac:dyDescent="0.2">
      <c r="A206">
        <v>2018</v>
      </c>
      <c r="B206">
        <v>11</v>
      </c>
      <c r="C206" t="s">
        <v>55</v>
      </c>
      <c r="D206" t="s">
        <v>70</v>
      </c>
      <c r="E206" t="s">
        <v>68</v>
      </c>
      <c r="F206" s="14">
        <v>1231729294</v>
      </c>
      <c r="G206" s="14">
        <v>1231729294</v>
      </c>
      <c r="H206">
        <f t="shared" si="6"/>
        <v>0</v>
      </c>
      <c r="I206" s="20">
        <f t="shared" si="7"/>
        <v>43405</v>
      </c>
    </row>
    <row r="207" spans="1:9" x14ac:dyDescent="0.2">
      <c r="A207">
        <v>2018</v>
      </c>
      <c r="B207">
        <v>11</v>
      </c>
      <c r="C207" t="s">
        <v>62</v>
      </c>
      <c r="D207" t="s">
        <v>70</v>
      </c>
      <c r="E207" t="s">
        <v>63</v>
      </c>
      <c r="F207" s="14">
        <v>1156996</v>
      </c>
      <c r="G207" s="14">
        <v>680586</v>
      </c>
      <c r="H207">
        <f t="shared" si="6"/>
        <v>0</v>
      </c>
      <c r="I207" s="20">
        <f t="shared" si="7"/>
        <v>43405</v>
      </c>
    </row>
    <row r="208" spans="1:9" x14ac:dyDescent="0.2">
      <c r="A208">
        <v>2018</v>
      </c>
      <c r="B208">
        <v>11</v>
      </c>
      <c r="C208" t="s">
        <v>64</v>
      </c>
      <c r="D208" t="s">
        <v>70</v>
      </c>
      <c r="E208" t="s">
        <v>68</v>
      </c>
      <c r="F208" s="14">
        <v>1041666</v>
      </c>
      <c r="G208" s="14">
        <v>1041666</v>
      </c>
      <c r="H208">
        <f t="shared" si="6"/>
        <v>0</v>
      </c>
      <c r="I208" s="20">
        <f t="shared" si="7"/>
        <v>43405</v>
      </c>
    </row>
    <row r="209" spans="1:9" x14ac:dyDescent="0.2">
      <c r="A209">
        <v>2018</v>
      </c>
      <c r="B209">
        <v>11</v>
      </c>
      <c r="C209" t="s">
        <v>64</v>
      </c>
      <c r="D209" t="s">
        <v>71</v>
      </c>
      <c r="E209" t="s">
        <v>72</v>
      </c>
      <c r="F209" s="14">
        <v>185644</v>
      </c>
      <c r="G209" s="14">
        <v>185644</v>
      </c>
      <c r="H209">
        <f t="shared" si="6"/>
        <v>0</v>
      </c>
      <c r="I209" s="20">
        <f t="shared" si="7"/>
        <v>43405</v>
      </c>
    </row>
    <row r="210" spans="1:9" x14ac:dyDescent="0.2">
      <c r="A210">
        <v>2018</v>
      </c>
      <c r="B210">
        <v>12</v>
      </c>
      <c r="C210" t="s">
        <v>55</v>
      </c>
      <c r="D210" t="s">
        <v>56</v>
      </c>
      <c r="E210" t="s">
        <v>59</v>
      </c>
      <c r="F210" s="14">
        <v>42259874</v>
      </c>
      <c r="G210" s="14">
        <v>42259874</v>
      </c>
      <c r="H210">
        <f t="shared" si="6"/>
        <v>0</v>
      </c>
      <c r="I210" s="20">
        <f t="shared" si="7"/>
        <v>43435</v>
      </c>
    </row>
    <row r="211" spans="1:9" x14ac:dyDescent="0.2">
      <c r="A211">
        <v>2018</v>
      </c>
      <c r="B211">
        <v>12</v>
      </c>
      <c r="C211" t="s">
        <v>55</v>
      </c>
      <c r="D211" t="s">
        <v>56</v>
      </c>
      <c r="E211" t="s">
        <v>58</v>
      </c>
      <c r="F211" s="14">
        <v>11152309</v>
      </c>
      <c r="G211" s="14">
        <v>11152309</v>
      </c>
      <c r="H211">
        <f t="shared" si="6"/>
        <v>0</v>
      </c>
      <c r="I211" s="20">
        <f t="shared" si="7"/>
        <v>43435</v>
      </c>
    </row>
    <row r="212" spans="1:9" x14ac:dyDescent="0.2">
      <c r="A212">
        <v>2018</v>
      </c>
      <c r="B212">
        <v>12</v>
      </c>
      <c r="C212" t="s">
        <v>64</v>
      </c>
      <c r="D212" t="s">
        <v>56</v>
      </c>
      <c r="E212" t="s">
        <v>58</v>
      </c>
      <c r="F212" s="14">
        <v>3834959</v>
      </c>
      <c r="G212" s="14">
        <v>3834959</v>
      </c>
      <c r="H212">
        <f t="shared" si="6"/>
        <v>0</v>
      </c>
      <c r="I212" s="20">
        <f t="shared" si="7"/>
        <v>43435</v>
      </c>
    </row>
    <row r="213" spans="1:9" x14ac:dyDescent="0.2">
      <c r="A213">
        <v>2018</v>
      </c>
      <c r="B213">
        <v>12</v>
      </c>
      <c r="C213" t="s">
        <v>64</v>
      </c>
      <c r="D213" t="s">
        <v>56</v>
      </c>
      <c r="E213" t="s">
        <v>59</v>
      </c>
      <c r="F213" s="14">
        <v>2076150</v>
      </c>
      <c r="G213" s="14">
        <v>2076150</v>
      </c>
      <c r="H213">
        <f t="shared" si="6"/>
        <v>0</v>
      </c>
      <c r="I213" s="20">
        <f t="shared" si="7"/>
        <v>43435</v>
      </c>
    </row>
    <row r="214" spans="1:9" x14ac:dyDescent="0.2">
      <c r="A214">
        <v>2018</v>
      </c>
      <c r="B214">
        <v>12</v>
      </c>
      <c r="C214" t="s">
        <v>55</v>
      </c>
      <c r="D214" t="s">
        <v>56</v>
      </c>
      <c r="E214" t="s">
        <v>57</v>
      </c>
      <c r="F214" s="14">
        <v>143450</v>
      </c>
      <c r="G214" s="14">
        <v>143450</v>
      </c>
      <c r="H214">
        <f t="shared" si="6"/>
        <v>0</v>
      </c>
      <c r="I214" s="20">
        <f t="shared" si="7"/>
        <v>43435</v>
      </c>
    </row>
    <row r="215" spans="1:9" x14ac:dyDescent="0.2">
      <c r="A215">
        <v>2018</v>
      </c>
      <c r="B215">
        <v>12</v>
      </c>
      <c r="C215" t="s">
        <v>55</v>
      </c>
      <c r="D215" t="s">
        <v>60</v>
      </c>
      <c r="E215" t="s">
        <v>61</v>
      </c>
      <c r="F215" s="14">
        <v>274996979</v>
      </c>
      <c r="G215" s="14">
        <v>183329377</v>
      </c>
      <c r="H215">
        <f t="shared" si="6"/>
        <v>0</v>
      </c>
      <c r="I215" s="20">
        <f t="shared" si="7"/>
        <v>43435</v>
      </c>
    </row>
    <row r="216" spans="1:9" x14ac:dyDescent="0.2">
      <c r="A216">
        <v>2018</v>
      </c>
      <c r="B216">
        <v>12</v>
      </c>
      <c r="C216" t="s">
        <v>55</v>
      </c>
      <c r="D216" t="s">
        <v>60</v>
      </c>
      <c r="E216" t="s">
        <v>63</v>
      </c>
      <c r="F216" s="14">
        <v>76431939</v>
      </c>
      <c r="G216" s="14">
        <v>44959932</v>
      </c>
      <c r="H216">
        <f t="shared" si="6"/>
        <v>0</v>
      </c>
      <c r="I216" s="20">
        <f t="shared" si="7"/>
        <v>43435</v>
      </c>
    </row>
    <row r="217" spans="1:9" x14ac:dyDescent="0.2">
      <c r="A217">
        <v>2018</v>
      </c>
      <c r="B217">
        <v>12</v>
      </c>
      <c r="C217" t="s">
        <v>64</v>
      </c>
      <c r="D217" t="s">
        <v>60</v>
      </c>
      <c r="E217" t="s">
        <v>61</v>
      </c>
      <c r="F217" s="14">
        <v>44401409</v>
      </c>
      <c r="G217" s="14">
        <v>29600921</v>
      </c>
      <c r="H217">
        <f t="shared" si="6"/>
        <v>0</v>
      </c>
      <c r="I217" s="20">
        <f t="shared" si="7"/>
        <v>43435</v>
      </c>
    </row>
    <row r="218" spans="1:9" x14ac:dyDescent="0.2">
      <c r="A218">
        <v>2018</v>
      </c>
      <c r="B218">
        <v>12</v>
      </c>
      <c r="C218" t="s">
        <v>62</v>
      </c>
      <c r="D218" t="s">
        <v>60</v>
      </c>
      <c r="E218" t="s">
        <v>63</v>
      </c>
      <c r="F218" s="14">
        <v>40248896</v>
      </c>
      <c r="G218" s="14">
        <v>23675821</v>
      </c>
      <c r="H218">
        <f t="shared" si="6"/>
        <v>0</v>
      </c>
      <c r="I218" s="20">
        <f t="shared" si="7"/>
        <v>43435</v>
      </c>
    </row>
    <row r="219" spans="1:9" x14ac:dyDescent="0.2">
      <c r="A219">
        <v>2018</v>
      </c>
      <c r="B219">
        <v>12</v>
      </c>
      <c r="C219" t="s">
        <v>55</v>
      </c>
      <c r="D219" t="s">
        <v>60</v>
      </c>
      <c r="E219" t="s">
        <v>65</v>
      </c>
      <c r="F219" s="14">
        <v>435584</v>
      </c>
      <c r="G219" s="14">
        <v>272240</v>
      </c>
      <c r="H219">
        <f t="shared" si="6"/>
        <v>1</v>
      </c>
      <c r="I219" s="20">
        <f t="shared" si="7"/>
        <v>43435</v>
      </c>
    </row>
    <row r="220" spans="1:9" x14ac:dyDescent="0.2">
      <c r="A220">
        <v>2018</v>
      </c>
      <c r="B220">
        <v>12</v>
      </c>
      <c r="C220" t="s">
        <v>64</v>
      </c>
      <c r="D220" t="s">
        <v>66</v>
      </c>
      <c r="E220" t="s">
        <v>68</v>
      </c>
      <c r="F220" s="14">
        <v>23177377</v>
      </c>
      <c r="G220" s="14">
        <v>23177377</v>
      </c>
      <c r="H220">
        <f t="shared" si="6"/>
        <v>0</v>
      </c>
      <c r="I220" s="20">
        <f t="shared" si="7"/>
        <v>43435</v>
      </c>
    </row>
    <row r="221" spans="1:9" x14ac:dyDescent="0.2">
      <c r="A221">
        <v>2018</v>
      </c>
      <c r="B221">
        <v>12</v>
      </c>
      <c r="C221" t="s">
        <v>55</v>
      </c>
      <c r="D221" t="s">
        <v>66</v>
      </c>
      <c r="E221" t="s">
        <v>63</v>
      </c>
      <c r="F221" s="14">
        <v>4029853</v>
      </c>
      <c r="G221" s="14">
        <v>2370500</v>
      </c>
      <c r="H221">
        <f t="shared" si="6"/>
        <v>0</v>
      </c>
      <c r="I221" s="20">
        <f t="shared" si="7"/>
        <v>43435</v>
      </c>
    </row>
    <row r="222" spans="1:9" x14ac:dyDescent="0.2">
      <c r="A222">
        <v>2018</v>
      </c>
      <c r="B222">
        <v>12</v>
      </c>
      <c r="C222" t="s">
        <v>55</v>
      </c>
      <c r="D222" t="s">
        <v>66</v>
      </c>
      <c r="E222" t="s">
        <v>67</v>
      </c>
      <c r="F222" s="14">
        <v>3658074</v>
      </c>
      <c r="G222" s="14">
        <v>2438715</v>
      </c>
      <c r="H222">
        <f t="shared" si="6"/>
        <v>0</v>
      </c>
      <c r="I222" s="20">
        <f t="shared" si="7"/>
        <v>43435</v>
      </c>
    </row>
    <row r="223" spans="1:9" x14ac:dyDescent="0.2">
      <c r="A223">
        <v>2018</v>
      </c>
      <c r="B223">
        <v>12</v>
      </c>
      <c r="C223" t="s">
        <v>55</v>
      </c>
      <c r="D223" t="s">
        <v>66</v>
      </c>
      <c r="E223" t="s">
        <v>68</v>
      </c>
      <c r="F223" s="14">
        <v>1990329</v>
      </c>
      <c r="G223" s="14">
        <v>1990329</v>
      </c>
      <c r="H223">
        <f t="shared" si="6"/>
        <v>0</v>
      </c>
      <c r="I223" s="20">
        <f t="shared" si="7"/>
        <v>43435</v>
      </c>
    </row>
    <row r="224" spans="1:9" x14ac:dyDescent="0.2">
      <c r="A224">
        <v>2018</v>
      </c>
      <c r="B224">
        <v>12</v>
      </c>
      <c r="C224" t="s">
        <v>55</v>
      </c>
      <c r="D224" t="s">
        <v>66</v>
      </c>
      <c r="E224" t="s">
        <v>74</v>
      </c>
      <c r="F224" s="14">
        <v>522781</v>
      </c>
      <c r="G224" s="14">
        <v>475255</v>
      </c>
      <c r="H224">
        <f t="shared" si="6"/>
        <v>0</v>
      </c>
      <c r="I224" s="20">
        <f t="shared" si="7"/>
        <v>43435</v>
      </c>
    </row>
    <row r="225" spans="1:9" x14ac:dyDescent="0.2">
      <c r="A225">
        <v>2018</v>
      </c>
      <c r="B225">
        <v>12</v>
      </c>
      <c r="C225" t="s">
        <v>55</v>
      </c>
      <c r="D225" t="s">
        <v>66</v>
      </c>
      <c r="E225" t="s">
        <v>69</v>
      </c>
      <c r="F225" s="14">
        <v>395182</v>
      </c>
      <c r="G225" s="14">
        <v>246989</v>
      </c>
      <c r="H225">
        <f t="shared" si="6"/>
        <v>0</v>
      </c>
      <c r="I225" s="20">
        <f t="shared" si="7"/>
        <v>43435</v>
      </c>
    </row>
    <row r="226" spans="1:9" x14ac:dyDescent="0.2">
      <c r="A226">
        <v>2018</v>
      </c>
      <c r="B226">
        <v>12</v>
      </c>
      <c r="C226" t="s">
        <v>55</v>
      </c>
      <c r="D226" t="s">
        <v>66</v>
      </c>
      <c r="E226" t="s">
        <v>59</v>
      </c>
      <c r="F226" s="14">
        <v>50310</v>
      </c>
      <c r="G226" s="14">
        <v>50310</v>
      </c>
      <c r="H226">
        <f t="shared" si="6"/>
        <v>0</v>
      </c>
      <c r="I226" s="20">
        <f t="shared" si="7"/>
        <v>43435</v>
      </c>
    </row>
    <row r="227" spans="1:9" x14ac:dyDescent="0.2">
      <c r="A227">
        <v>2018</v>
      </c>
      <c r="B227">
        <v>12</v>
      </c>
      <c r="C227" t="s">
        <v>55</v>
      </c>
      <c r="D227" t="s">
        <v>70</v>
      </c>
      <c r="E227" t="s">
        <v>68</v>
      </c>
      <c r="F227" s="14">
        <v>1232304025</v>
      </c>
      <c r="G227" s="14">
        <v>1232304025</v>
      </c>
      <c r="H227">
        <f t="shared" si="6"/>
        <v>0</v>
      </c>
      <c r="I227" s="20">
        <f t="shared" si="7"/>
        <v>43435</v>
      </c>
    </row>
    <row r="228" spans="1:9" x14ac:dyDescent="0.2">
      <c r="A228">
        <v>2018</v>
      </c>
      <c r="B228">
        <v>12</v>
      </c>
      <c r="C228" t="s">
        <v>62</v>
      </c>
      <c r="D228" t="s">
        <v>70</v>
      </c>
      <c r="E228" t="s">
        <v>63</v>
      </c>
      <c r="F228" s="14">
        <v>20583683</v>
      </c>
      <c r="G228" s="14">
        <v>12108048</v>
      </c>
      <c r="H228">
        <f t="shared" si="6"/>
        <v>0</v>
      </c>
      <c r="I228" s="20">
        <f t="shared" si="7"/>
        <v>43435</v>
      </c>
    </row>
    <row r="229" spans="1:9" x14ac:dyDescent="0.2">
      <c r="A229">
        <v>2018</v>
      </c>
      <c r="B229">
        <v>12</v>
      </c>
      <c r="C229" t="s">
        <v>64</v>
      </c>
      <c r="D229" t="s">
        <v>70</v>
      </c>
      <c r="E229" t="s">
        <v>68</v>
      </c>
      <c r="F229" s="14">
        <v>1043041</v>
      </c>
      <c r="G229" s="14">
        <v>1043041</v>
      </c>
      <c r="H229">
        <f t="shared" si="6"/>
        <v>0</v>
      </c>
      <c r="I229" s="20">
        <f t="shared" si="7"/>
        <v>43435</v>
      </c>
    </row>
    <row r="230" spans="1:9" x14ac:dyDescent="0.2">
      <c r="A230">
        <v>2018</v>
      </c>
      <c r="B230">
        <v>12</v>
      </c>
      <c r="C230" t="s">
        <v>64</v>
      </c>
      <c r="D230" t="s">
        <v>71</v>
      </c>
      <c r="E230" t="s">
        <v>72</v>
      </c>
      <c r="F230" s="14">
        <v>217665</v>
      </c>
      <c r="G230" s="14">
        <v>217665</v>
      </c>
      <c r="H230">
        <f t="shared" si="6"/>
        <v>0</v>
      </c>
      <c r="I230" s="20">
        <f t="shared" si="7"/>
        <v>43435</v>
      </c>
    </row>
    <row r="231" spans="1:9" x14ac:dyDescent="0.2">
      <c r="A231">
        <v>2019</v>
      </c>
      <c r="B231">
        <v>1</v>
      </c>
      <c r="C231" t="s">
        <v>55</v>
      </c>
      <c r="D231" t="s">
        <v>56</v>
      </c>
      <c r="E231" t="s">
        <v>57</v>
      </c>
      <c r="F231" s="14">
        <v>528864</v>
      </c>
      <c r="G231" s="14">
        <v>528864</v>
      </c>
      <c r="H231">
        <f t="shared" si="6"/>
        <v>0</v>
      </c>
      <c r="I231" s="20">
        <f t="shared" si="7"/>
        <v>43466</v>
      </c>
    </row>
    <row r="232" spans="1:9" x14ac:dyDescent="0.2">
      <c r="A232">
        <v>2019</v>
      </c>
      <c r="B232">
        <v>1</v>
      </c>
      <c r="C232" t="s">
        <v>55</v>
      </c>
      <c r="D232" t="s">
        <v>56</v>
      </c>
      <c r="E232" t="s">
        <v>58</v>
      </c>
      <c r="F232" s="14">
        <v>185308</v>
      </c>
      <c r="G232" s="14">
        <v>185308</v>
      </c>
      <c r="H232">
        <f t="shared" si="6"/>
        <v>0</v>
      </c>
      <c r="I232" s="20">
        <f t="shared" si="7"/>
        <v>43466</v>
      </c>
    </row>
    <row r="233" spans="1:9" x14ac:dyDescent="0.2">
      <c r="A233">
        <v>2019</v>
      </c>
      <c r="B233">
        <v>1</v>
      </c>
      <c r="C233" t="s">
        <v>55</v>
      </c>
      <c r="D233" t="s">
        <v>56</v>
      </c>
      <c r="E233" t="s">
        <v>59</v>
      </c>
      <c r="F233" s="14">
        <v>22550</v>
      </c>
      <c r="G233" s="14">
        <v>22550</v>
      </c>
      <c r="H233">
        <f t="shared" si="6"/>
        <v>0</v>
      </c>
      <c r="I233" s="20">
        <f t="shared" si="7"/>
        <v>43466</v>
      </c>
    </row>
    <row r="234" spans="1:9" x14ac:dyDescent="0.2">
      <c r="A234">
        <v>2019</v>
      </c>
      <c r="B234">
        <v>1</v>
      </c>
      <c r="C234" t="s">
        <v>55</v>
      </c>
      <c r="D234" t="s">
        <v>60</v>
      </c>
      <c r="E234" t="s">
        <v>61</v>
      </c>
      <c r="F234" s="14">
        <v>161505585</v>
      </c>
      <c r="G234" s="14">
        <v>107668977</v>
      </c>
      <c r="H234">
        <f t="shared" si="6"/>
        <v>0</v>
      </c>
      <c r="I234" s="20">
        <f t="shared" si="7"/>
        <v>43466</v>
      </c>
    </row>
    <row r="235" spans="1:9" x14ac:dyDescent="0.2">
      <c r="A235">
        <v>2019</v>
      </c>
      <c r="B235">
        <v>1</v>
      </c>
      <c r="C235" t="s">
        <v>55</v>
      </c>
      <c r="D235" t="s">
        <v>60</v>
      </c>
      <c r="E235" t="s">
        <v>63</v>
      </c>
      <c r="F235" s="14">
        <v>56959337</v>
      </c>
      <c r="G235" s="14">
        <v>33505471</v>
      </c>
      <c r="H235">
        <f t="shared" si="6"/>
        <v>0</v>
      </c>
      <c r="I235" s="20">
        <f t="shared" si="7"/>
        <v>43466</v>
      </c>
    </row>
    <row r="236" spans="1:9" x14ac:dyDescent="0.2">
      <c r="A236">
        <v>2019</v>
      </c>
      <c r="B236">
        <v>1</v>
      </c>
      <c r="C236" t="s">
        <v>62</v>
      </c>
      <c r="D236" t="s">
        <v>60</v>
      </c>
      <c r="E236" t="s">
        <v>63</v>
      </c>
      <c r="F236" s="14">
        <v>27699469</v>
      </c>
      <c r="G236" s="14">
        <v>16293805</v>
      </c>
      <c r="H236">
        <f t="shared" si="6"/>
        <v>0</v>
      </c>
      <c r="I236" s="20">
        <f t="shared" si="7"/>
        <v>43466</v>
      </c>
    </row>
    <row r="237" spans="1:9" x14ac:dyDescent="0.2">
      <c r="A237">
        <v>2019</v>
      </c>
      <c r="B237">
        <v>1</v>
      </c>
      <c r="C237" t="s">
        <v>64</v>
      </c>
      <c r="D237" t="s">
        <v>60</v>
      </c>
      <c r="E237" t="s">
        <v>61</v>
      </c>
      <c r="F237" s="14">
        <v>17713871</v>
      </c>
      <c r="G237" s="14">
        <v>11809234</v>
      </c>
      <c r="H237">
        <f t="shared" si="6"/>
        <v>0</v>
      </c>
      <c r="I237" s="20">
        <f t="shared" si="7"/>
        <v>43466</v>
      </c>
    </row>
    <row r="238" spans="1:9" x14ac:dyDescent="0.2">
      <c r="A238">
        <v>2019</v>
      </c>
      <c r="B238">
        <v>1</v>
      </c>
      <c r="C238" t="s">
        <v>55</v>
      </c>
      <c r="D238" t="s">
        <v>60</v>
      </c>
      <c r="E238" t="s">
        <v>65</v>
      </c>
      <c r="F238" s="14">
        <v>311408</v>
      </c>
      <c r="G238" s="14">
        <v>194630</v>
      </c>
      <c r="H238">
        <f t="shared" si="6"/>
        <v>1</v>
      </c>
      <c r="I238" s="20">
        <f t="shared" si="7"/>
        <v>43466</v>
      </c>
    </row>
    <row r="239" spans="1:9" x14ac:dyDescent="0.2">
      <c r="A239">
        <v>2019</v>
      </c>
      <c r="B239">
        <v>1</v>
      </c>
      <c r="C239" t="s">
        <v>55</v>
      </c>
      <c r="D239" t="s">
        <v>60</v>
      </c>
      <c r="E239" t="s">
        <v>69</v>
      </c>
      <c r="F239" s="14">
        <v>7704</v>
      </c>
      <c r="G239" s="14">
        <v>4815</v>
      </c>
      <c r="H239">
        <f t="shared" si="6"/>
        <v>0</v>
      </c>
      <c r="I239" s="20">
        <f t="shared" si="7"/>
        <v>43466</v>
      </c>
    </row>
    <row r="240" spans="1:9" x14ac:dyDescent="0.2">
      <c r="A240">
        <v>2019</v>
      </c>
      <c r="B240">
        <v>1</v>
      </c>
      <c r="C240" t="s">
        <v>55</v>
      </c>
      <c r="D240" t="s">
        <v>66</v>
      </c>
      <c r="E240" t="s">
        <v>63</v>
      </c>
      <c r="F240" s="14">
        <v>5068638</v>
      </c>
      <c r="G240" s="14">
        <v>2981550</v>
      </c>
      <c r="H240">
        <f t="shared" si="6"/>
        <v>0</v>
      </c>
      <c r="I240" s="20">
        <f t="shared" si="7"/>
        <v>43466</v>
      </c>
    </row>
    <row r="241" spans="1:9" x14ac:dyDescent="0.2">
      <c r="A241">
        <v>2019</v>
      </c>
      <c r="B241">
        <v>1</v>
      </c>
      <c r="C241" t="s">
        <v>55</v>
      </c>
      <c r="D241" t="s">
        <v>66</v>
      </c>
      <c r="E241" t="s">
        <v>67</v>
      </c>
      <c r="F241" s="14">
        <v>2883364</v>
      </c>
      <c r="G241" s="14">
        <v>1922242</v>
      </c>
      <c r="H241">
        <f t="shared" si="6"/>
        <v>0</v>
      </c>
      <c r="I241" s="20">
        <f t="shared" si="7"/>
        <v>43466</v>
      </c>
    </row>
    <row r="242" spans="1:9" x14ac:dyDescent="0.2">
      <c r="A242">
        <v>2019</v>
      </c>
      <c r="B242">
        <v>1</v>
      </c>
      <c r="C242" t="s">
        <v>55</v>
      </c>
      <c r="D242" t="s">
        <v>66</v>
      </c>
      <c r="E242" t="s">
        <v>68</v>
      </c>
      <c r="F242" s="14">
        <v>2101339</v>
      </c>
      <c r="G242" s="14">
        <v>2101339</v>
      </c>
      <c r="H242">
        <f t="shared" si="6"/>
        <v>0</v>
      </c>
      <c r="I242" s="20">
        <f t="shared" si="7"/>
        <v>43466</v>
      </c>
    </row>
    <row r="243" spans="1:9" x14ac:dyDescent="0.2">
      <c r="A243">
        <v>2019</v>
      </c>
      <c r="B243">
        <v>1</v>
      </c>
      <c r="C243" t="s">
        <v>55</v>
      </c>
      <c r="D243" t="s">
        <v>66</v>
      </c>
      <c r="E243" t="s">
        <v>69</v>
      </c>
      <c r="F243" s="14">
        <v>596129</v>
      </c>
      <c r="G243" s="14">
        <v>372581</v>
      </c>
      <c r="H243">
        <f t="shared" si="6"/>
        <v>0</v>
      </c>
      <c r="I243" s="20">
        <f t="shared" si="7"/>
        <v>43466</v>
      </c>
    </row>
    <row r="244" spans="1:9" x14ac:dyDescent="0.2">
      <c r="A244">
        <v>2019</v>
      </c>
      <c r="B244">
        <v>1</v>
      </c>
      <c r="C244" t="s">
        <v>55</v>
      </c>
      <c r="D244" t="s">
        <v>66</v>
      </c>
      <c r="E244" t="s">
        <v>59</v>
      </c>
      <c r="F244" s="14">
        <v>21965</v>
      </c>
      <c r="G244" s="14">
        <v>21965</v>
      </c>
      <c r="H244">
        <f t="shared" si="6"/>
        <v>0</v>
      </c>
      <c r="I244" s="20">
        <f t="shared" si="7"/>
        <v>43466</v>
      </c>
    </row>
    <row r="245" spans="1:9" x14ac:dyDescent="0.2">
      <c r="A245">
        <v>2019</v>
      </c>
      <c r="B245">
        <v>1</v>
      </c>
      <c r="C245" t="s">
        <v>55</v>
      </c>
      <c r="D245" t="s">
        <v>70</v>
      </c>
      <c r="E245" t="s">
        <v>68</v>
      </c>
      <c r="F245" s="14">
        <v>1189779457</v>
      </c>
      <c r="G245" s="14">
        <v>1189779457</v>
      </c>
      <c r="H245">
        <f t="shared" si="6"/>
        <v>0</v>
      </c>
      <c r="I245" s="20">
        <f t="shared" si="7"/>
        <v>43466</v>
      </c>
    </row>
    <row r="246" spans="1:9" x14ac:dyDescent="0.2">
      <c r="A246">
        <v>2019</v>
      </c>
      <c r="B246">
        <v>1</v>
      </c>
      <c r="C246" t="s">
        <v>62</v>
      </c>
      <c r="D246" t="s">
        <v>70</v>
      </c>
      <c r="E246" t="s">
        <v>63</v>
      </c>
      <c r="F246" s="14">
        <v>19047220</v>
      </c>
      <c r="G246" s="14">
        <v>11204247</v>
      </c>
      <c r="H246">
        <f t="shared" si="6"/>
        <v>0</v>
      </c>
      <c r="I246" s="20">
        <f t="shared" si="7"/>
        <v>43466</v>
      </c>
    </row>
    <row r="247" spans="1:9" x14ac:dyDescent="0.2">
      <c r="A247">
        <v>2019</v>
      </c>
      <c r="B247">
        <v>1</v>
      </c>
      <c r="C247" t="s">
        <v>64</v>
      </c>
      <c r="D247" t="s">
        <v>70</v>
      </c>
      <c r="E247" t="s">
        <v>68</v>
      </c>
      <c r="F247" s="14">
        <v>1042372</v>
      </c>
      <c r="G247" s="14">
        <v>1042372</v>
      </c>
      <c r="H247">
        <f t="shared" si="6"/>
        <v>0</v>
      </c>
      <c r="I247" s="20">
        <f t="shared" si="7"/>
        <v>43466</v>
      </c>
    </row>
    <row r="248" spans="1:9" x14ac:dyDescent="0.2">
      <c r="A248">
        <v>2019</v>
      </c>
      <c r="B248">
        <v>1</v>
      </c>
      <c r="C248" t="s">
        <v>55</v>
      </c>
      <c r="D248" t="s">
        <v>70</v>
      </c>
      <c r="E248" t="s">
        <v>61</v>
      </c>
      <c r="F248" s="14">
        <v>16767</v>
      </c>
      <c r="G248" s="14">
        <v>11178</v>
      </c>
      <c r="H248">
        <f t="shared" si="6"/>
        <v>0</v>
      </c>
      <c r="I248" s="20">
        <f t="shared" si="7"/>
        <v>43466</v>
      </c>
    </row>
    <row r="249" spans="1:9" x14ac:dyDescent="0.2">
      <c r="A249">
        <v>2019</v>
      </c>
      <c r="B249">
        <v>1</v>
      </c>
      <c r="C249" t="s">
        <v>64</v>
      </c>
      <c r="D249" t="s">
        <v>71</v>
      </c>
      <c r="E249" t="s">
        <v>72</v>
      </c>
      <c r="F249" s="14">
        <v>148993</v>
      </c>
      <c r="G249" s="14">
        <v>148993</v>
      </c>
      <c r="H249">
        <f t="shared" si="6"/>
        <v>0</v>
      </c>
      <c r="I249" s="20">
        <f t="shared" si="7"/>
        <v>43466</v>
      </c>
    </row>
    <row r="250" spans="1:9" x14ac:dyDescent="0.2">
      <c r="A250">
        <v>2019</v>
      </c>
      <c r="B250">
        <v>2</v>
      </c>
      <c r="C250" t="s">
        <v>55</v>
      </c>
      <c r="D250" t="s">
        <v>56</v>
      </c>
      <c r="E250" t="s">
        <v>59</v>
      </c>
      <c r="F250" s="14">
        <v>23379278</v>
      </c>
      <c r="G250" s="14">
        <v>23379278</v>
      </c>
      <c r="H250">
        <f t="shared" si="6"/>
        <v>0</v>
      </c>
      <c r="I250" s="20">
        <f t="shared" si="7"/>
        <v>43497</v>
      </c>
    </row>
    <row r="251" spans="1:9" x14ac:dyDescent="0.2">
      <c r="A251">
        <v>2019</v>
      </c>
      <c r="B251">
        <v>2</v>
      </c>
      <c r="C251" t="s">
        <v>55</v>
      </c>
      <c r="D251" t="s">
        <v>56</v>
      </c>
      <c r="E251" t="s">
        <v>58</v>
      </c>
      <c r="F251" s="14">
        <v>4330400</v>
      </c>
      <c r="G251" s="14">
        <v>4330400</v>
      </c>
      <c r="H251">
        <f t="shared" si="6"/>
        <v>0</v>
      </c>
      <c r="I251" s="20">
        <f t="shared" si="7"/>
        <v>43497</v>
      </c>
    </row>
    <row r="252" spans="1:9" x14ac:dyDescent="0.2">
      <c r="A252">
        <v>2019</v>
      </c>
      <c r="B252">
        <v>2</v>
      </c>
      <c r="C252" t="s">
        <v>64</v>
      </c>
      <c r="D252" t="s">
        <v>56</v>
      </c>
      <c r="E252" t="s">
        <v>58</v>
      </c>
      <c r="F252" s="14">
        <v>2006302</v>
      </c>
      <c r="G252" s="14">
        <v>2006302</v>
      </c>
      <c r="H252">
        <f t="shared" si="6"/>
        <v>0</v>
      </c>
      <c r="I252" s="20">
        <f t="shared" si="7"/>
        <v>43497</v>
      </c>
    </row>
    <row r="253" spans="1:9" x14ac:dyDescent="0.2">
      <c r="A253">
        <v>2019</v>
      </c>
      <c r="B253">
        <v>2</v>
      </c>
      <c r="C253" t="s">
        <v>64</v>
      </c>
      <c r="D253" t="s">
        <v>56</v>
      </c>
      <c r="E253" t="s">
        <v>59</v>
      </c>
      <c r="F253" s="14">
        <v>1049497</v>
      </c>
      <c r="G253" s="14">
        <v>1049497</v>
      </c>
      <c r="H253">
        <f t="shared" si="6"/>
        <v>0</v>
      </c>
      <c r="I253" s="20">
        <f t="shared" si="7"/>
        <v>43497</v>
      </c>
    </row>
    <row r="254" spans="1:9" x14ac:dyDescent="0.2">
      <c r="A254">
        <v>2019</v>
      </c>
      <c r="B254">
        <v>2</v>
      </c>
      <c r="C254" t="s">
        <v>55</v>
      </c>
      <c r="D254" t="s">
        <v>56</v>
      </c>
      <c r="E254" t="s">
        <v>57</v>
      </c>
      <c r="F254" s="14">
        <v>1031913</v>
      </c>
      <c r="G254" s="14">
        <v>1031913</v>
      </c>
      <c r="H254">
        <f t="shared" si="6"/>
        <v>0</v>
      </c>
      <c r="I254" s="20">
        <f t="shared" si="7"/>
        <v>43497</v>
      </c>
    </row>
    <row r="255" spans="1:9" x14ac:dyDescent="0.2">
      <c r="A255">
        <v>2019</v>
      </c>
      <c r="B255">
        <v>2</v>
      </c>
      <c r="C255" t="s">
        <v>55</v>
      </c>
      <c r="D255" t="s">
        <v>60</v>
      </c>
      <c r="E255" t="s">
        <v>61</v>
      </c>
      <c r="F255" s="14">
        <v>175997796</v>
      </c>
      <c r="G255" s="14">
        <v>117330452</v>
      </c>
      <c r="H255">
        <f t="shared" si="6"/>
        <v>0</v>
      </c>
      <c r="I255" s="20">
        <f t="shared" si="7"/>
        <v>43497</v>
      </c>
    </row>
    <row r="256" spans="1:9" x14ac:dyDescent="0.2">
      <c r="A256">
        <v>2019</v>
      </c>
      <c r="B256">
        <v>2</v>
      </c>
      <c r="C256" t="s">
        <v>55</v>
      </c>
      <c r="D256" t="s">
        <v>60</v>
      </c>
      <c r="E256" t="s">
        <v>63</v>
      </c>
      <c r="F256" s="14">
        <v>64303583</v>
      </c>
      <c r="G256" s="14">
        <v>37825609</v>
      </c>
      <c r="H256">
        <f t="shared" si="6"/>
        <v>0</v>
      </c>
      <c r="I256" s="20">
        <f t="shared" si="7"/>
        <v>43497</v>
      </c>
    </row>
    <row r="257" spans="1:9" x14ac:dyDescent="0.2">
      <c r="A257">
        <v>2019</v>
      </c>
      <c r="B257">
        <v>2</v>
      </c>
      <c r="C257" t="s">
        <v>62</v>
      </c>
      <c r="D257" t="s">
        <v>60</v>
      </c>
      <c r="E257" t="s">
        <v>63</v>
      </c>
      <c r="F257" s="14">
        <v>35994502</v>
      </c>
      <c r="G257" s="14">
        <v>21173236</v>
      </c>
      <c r="H257">
        <f t="shared" si="6"/>
        <v>0</v>
      </c>
      <c r="I257" s="20">
        <f t="shared" si="7"/>
        <v>43497</v>
      </c>
    </row>
    <row r="258" spans="1:9" x14ac:dyDescent="0.2">
      <c r="A258">
        <v>2019</v>
      </c>
      <c r="B258">
        <v>2</v>
      </c>
      <c r="C258" t="s">
        <v>64</v>
      </c>
      <c r="D258" t="s">
        <v>60</v>
      </c>
      <c r="E258" t="s">
        <v>61</v>
      </c>
      <c r="F258" s="14">
        <v>16452363</v>
      </c>
      <c r="G258" s="14">
        <v>10968228</v>
      </c>
      <c r="H258">
        <f t="shared" si="6"/>
        <v>0</v>
      </c>
      <c r="I258" s="20">
        <f t="shared" si="7"/>
        <v>43497</v>
      </c>
    </row>
    <row r="259" spans="1:9" x14ac:dyDescent="0.2">
      <c r="A259">
        <v>2019</v>
      </c>
      <c r="B259">
        <v>2</v>
      </c>
      <c r="C259" t="s">
        <v>55</v>
      </c>
      <c r="D259" t="s">
        <v>60</v>
      </c>
      <c r="E259" t="s">
        <v>65</v>
      </c>
      <c r="F259" s="14">
        <v>300174</v>
      </c>
      <c r="G259" s="14">
        <v>187609</v>
      </c>
      <c r="H259">
        <f t="shared" ref="H259:H322" si="8">--ISNUMBER(SEARCH("Jet Fuel",E259))</f>
        <v>1</v>
      </c>
      <c r="I259" s="20">
        <f t="shared" ref="I259:I322" si="9">DATE(A259,B259,1)</f>
        <v>43497</v>
      </c>
    </row>
    <row r="260" spans="1:9" x14ac:dyDescent="0.2">
      <c r="A260">
        <v>2019</v>
      </c>
      <c r="B260">
        <v>2</v>
      </c>
      <c r="C260" t="s">
        <v>55</v>
      </c>
      <c r="D260" t="s">
        <v>66</v>
      </c>
      <c r="E260" t="s">
        <v>63</v>
      </c>
      <c r="F260" s="14">
        <v>3991755</v>
      </c>
      <c r="G260" s="14">
        <v>2348092</v>
      </c>
      <c r="H260">
        <f t="shared" si="8"/>
        <v>0</v>
      </c>
      <c r="I260" s="20">
        <f t="shared" si="9"/>
        <v>43497</v>
      </c>
    </row>
    <row r="261" spans="1:9" x14ac:dyDescent="0.2">
      <c r="A261">
        <v>2019</v>
      </c>
      <c r="B261">
        <v>2</v>
      </c>
      <c r="C261" t="s">
        <v>55</v>
      </c>
      <c r="D261" t="s">
        <v>66</v>
      </c>
      <c r="E261" t="s">
        <v>67</v>
      </c>
      <c r="F261" s="14">
        <v>3434243</v>
      </c>
      <c r="G261" s="14">
        <v>2289494</v>
      </c>
      <c r="H261">
        <f t="shared" si="8"/>
        <v>0</v>
      </c>
      <c r="I261" s="20">
        <f t="shared" si="9"/>
        <v>43497</v>
      </c>
    </row>
    <row r="262" spans="1:9" x14ac:dyDescent="0.2">
      <c r="A262">
        <v>2019</v>
      </c>
      <c r="B262">
        <v>2</v>
      </c>
      <c r="C262" t="s">
        <v>55</v>
      </c>
      <c r="D262" t="s">
        <v>66</v>
      </c>
      <c r="E262" t="s">
        <v>68</v>
      </c>
      <c r="F262" s="14">
        <v>2049780</v>
      </c>
      <c r="G262" s="14">
        <v>2049780</v>
      </c>
      <c r="H262">
        <f t="shared" si="8"/>
        <v>0</v>
      </c>
      <c r="I262" s="20">
        <f t="shared" si="9"/>
        <v>43497</v>
      </c>
    </row>
    <row r="263" spans="1:9" x14ac:dyDescent="0.2">
      <c r="A263">
        <v>2019</v>
      </c>
      <c r="B263">
        <v>2</v>
      </c>
      <c r="C263" t="s">
        <v>55</v>
      </c>
      <c r="D263" t="s">
        <v>66</v>
      </c>
      <c r="E263" t="s">
        <v>69</v>
      </c>
      <c r="F263" s="14">
        <v>477547</v>
      </c>
      <c r="G263" s="14">
        <v>298465</v>
      </c>
      <c r="H263">
        <f t="shared" si="8"/>
        <v>0</v>
      </c>
      <c r="I263" s="20">
        <f t="shared" si="9"/>
        <v>43497</v>
      </c>
    </row>
    <row r="264" spans="1:9" x14ac:dyDescent="0.2">
      <c r="A264">
        <v>2019</v>
      </c>
      <c r="B264">
        <v>2</v>
      </c>
      <c r="C264" t="s">
        <v>55</v>
      </c>
      <c r="D264" t="s">
        <v>66</v>
      </c>
      <c r="E264" t="s">
        <v>59</v>
      </c>
      <c r="F264" s="14">
        <v>10402</v>
      </c>
      <c r="G264" s="14">
        <v>10402</v>
      </c>
      <c r="H264">
        <f t="shared" si="8"/>
        <v>0</v>
      </c>
      <c r="I264" s="20">
        <f t="shared" si="9"/>
        <v>43497</v>
      </c>
    </row>
    <row r="265" spans="1:9" x14ac:dyDescent="0.2">
      <c r="A265">
        <v>2019</v>
      </c>
      <c r="B265">
        <v>2</v>
      </c>
      <c r="C265" t="s">
        <v>55</v>
      </c>
      <c r="D265" t="s">
        <v>70</v>
      </c>
      <c r="E265" t="s">
        <v>68</v>
      </c>
      <c r="F265" s="14">
        <v>1132553957</v>
      </c>
      <c r="G265" s="14">
        <v>1132553957</v>
      </c>
      <c r="H265">
        <f t="shared" si="8"/>
        <v>0</v>
      </c>
      <c r="I265" s="20">
        <f t="shared" si="9"/>
        <v>43497</v>
      </c>
    </row>
    <row r="266" spans="1:9" x14ac:dyDescent="0.2">
      <c r="A266">
        <v>2019</v>
      </c>
      <c r="B266">
        <v>2</v>
      </c>
      <c r="C266" t="s">
        <v>62</v>
      </c>
      <c r="D266" t="s">
        <v>70</v>
      </c>
      <c r="E266" t="s">
        <v>63</v>
      </c>
      <c r="F266" s="14">
        <v>20762824</v>
      </c>
      <c r="G266" s="14">
        <v>12213425</v>
      </c>
      <c r="H266">
        <f t="shared" si="8"/>
        <v>0</v>
      </c>
      <c r="I266" s="20">
        <f t="shared" si="9"/>
        <v>43497</v>
      </c>
    </row>
    <row r="267" spans="1:9" x14ac:dyDescent="0.2">
      <c r="A267">
        <v>2019</v>
      </c>
      <c r="B267">
        <v>2</v>
      </c>
      <c r="C267" t="s">
        <v>64</v>
      </c>
      <c r="D267" t="s">
        <v>70</v>
      </c>
      <c r="E267" t="s">
        <v>68</v>
      </c>
      <c r="F267" s="14">
        <v>914501</v>
      </c>
      <c r="G267" s="14">
        <v>914501</v>
      </c>
      <c r="H267">
        <f t="shared" si="8"/>
        <v>0</v>
      </c>
      <c r="I267" s="20">
        <f t="shared" si="9"/>
        <v>43497</v>
      </c>
    </row>
    <row r="268" spans="1:9" x14ac:dyDescent="0.2">
      <c r="A268">
        <v>2019</v>
      </c>
      <c r="B268">
        <v>2</v>
      </c>
      <c r="C268" t="s">
        <v>64</v>
      </c>
      <c r="D268" t="s">
        <v>71</v>
      </c>
      <c r="E268" t="s">
        <v>72</v>
      </c>
      <c r="F268" s="14">
        <v>225497</v>
      </c>
      <c r="G268" s="14">
        <v>225497</v>
      </c>
      <c r="H268">
        <f t="shared" si="8"/>
        <v>0</v>
      </c>
      <c r="I268" s="20">
        <f t="shared" si="9"/>
        <v>43497</v>
      </c>
    </row>
    <row r="269" spans="1:9" x14ac:dyDescent="0.2">
      <c r="A269">
        <v>2019</v>
      </c>
      <c r="B269">
        <v>3</v>
      </c>
      <c r="C269" t="s">
        <v>55</v>
      </c>
      <c r="D269" t="s">
        <v>56</v>
      </c>
      <c r="E269" t="s">
        <v>59</v>
      </c>
      <c r="F269" s="14">
        <v>20820447</v>
      </c>
      <c r="G269" s="14">
        <v>20820447</v>
      </c>
      <c r="H269">
        <f t="shared" si="8"/>
        <v>0</v>
      </c>
      <c r="I269" s="20">
        <f t="shared" si="9"/>
        <v>43525</v>
      </c>
    </row>
    <row r="270" spans="1:9" x14ac:dyDescent="0.2">
      <c r="A270">
        <v>2019</v>
      </c>
      <c r="B270">
        <v>3</v>
      </c>
      <c r="C270" t="s">
        <v>64</v>
      </c>
      <c r="D270" t="s">
        <v>56</v>
      </c>
      <c r="E270" t="s">
        <v>57</v>
      </c>
      <c r="F270" s="14">
        <v>4263940</v>
      </c>
      <c r="G270" s="14">
        <v>4263940</v>
      </c>
      <c r="H270">
        <f t="shared" si="8"/>
        <v>0</v>
      </c>
      <c r="I270" s="20">
        <f t="shared" si="9"/>
        <v>43525</v>
      </c>
    </row>
    <row r="271" spans="1:9" x14ac:dyDescent="0.2">
      <c r="A271">
        <v>2019</v>
      </c>
      <c r="B271">
        <v>3</v>
      </c>
      <c r="C271" t="s">
        <v>55</v>
      </c>
      <c r="D271" t="s">
        <v>56</v>
      </c>
      <c r="E271" t="s">
        <v>58</v>
      </c>
      <c r="F271" s="14">
        <v>4039100</v>
      </c>
      <c r="G271" s="14">
        <v>4039100</v>
      </c>
      <c r="H271">
        <f t="shared" si="8"/>
        <v>0</v>
      </c>
      <c r="I271" s="20">
        <f t="shared" si="9"/>
        <v>43525</v>
      </c>
    </row>
    <row r="272" spans="1:9" x14ac:dyDescent="0.2">
      <c r="A272">
        <v>2019</v>
      </c>
      <c r="B272">
        <v>3</v>
      </c>
      <c r="C272" t="s">
        <v>64</v>
      </c>
      <c r="D272" t="s">
        <v>56</v>
      </c>
      <c r="E272" t="s">
        <v>58</v>
      </c>
      <c r="F272" s="14">
        <v>1879436</v>
      </c>
      <c r="G272" s="14">
        <v>1879436</v>
      </c>
      <c r="H272">
        <f t="shared" si="8"/>
        <v>0</v>
      </c>
      <c r="I272" s="20">
        <f t="shared" si="9"/>
        <v>43525</v>
      </c>
    </row>
    <row r="273" spans="1:9" x14ac:dyDescent="0.2">
      <c r="A273">
        <v>2019</v>
      </c>
      <c r="B273">
        <v>3</v>
      </c>
      <c r="C273" t="s">
        <v>64</v>
      </c>
      <c r="D273" t="s">
        <v>56</v>
      </c>
      <c r="E273" t="s">
        <v>59</v>
      </c>
      <c r="F273" s="14">
        <v>785481</v>
      </c>
      <c r="G273" s="14">
        <v>785481</v>
      </c>
      <c r="H273">
        <f t="shared" si="8"/>
        <v>0</v>
      </c>
      <c r="I273" s="20">
        <f t="shared" si="9"/>
        <v>43525</v>
      </c>
    </row>
    <row r="274" spans="1:9" x14ac:dyDescent="0.2">
      <c r="A274">
        <v>2019</v>
      </c>
      <c r="B274">
        <v>3</v>
      </c>
      <c r="C274" t="s">
        <v>55</v>
      </c>
      <c r="D274" t="s">
        <v>56</v>
      </c>
      <c r="E274" t="s">
        <v>57</v>
      </c>
      <c r="F274" s="14">
        <v>396377</v>
      </c>
      <c r="G274" s="14">
        <v>396377</v>
      </c>
      <c r="H274">
        <f t="shared" si="8"/>
        <v>0</v>
      </c>
      <c r="I274" s="20">
        <f t="shared" si="9"/>
        <v>43525</v>
      </c>
    </row>
    <row r="275" spans="1:9" x14ac:dyDescent="0.2">
      <c r="A275">
        <v>2019</v>
      </c>
      <c r="B275">
        <v>3</v>
      </c>
      <c r="C275" t="s">
        <v>55</v>
      </c>
      <c r="D275" t="s">
        <v>60</v>
      </c>
      <c r="E275" t="s">
        <v>61</v>
      </c>
      <c r="F275" s="14">
        <v>221490992</v>
      </c>
      <c r="G275" s="14">
        <v>147658797</v>
      </c>
      <c r="H275">
        <f t="shared" si="8"/>
        <v>0</v>
      </c>
      <c r="I275" s="20">
        <f t="shared" si="9"/>
        <v>43525</v>
      </c>
    </row>
    <row r="276" spans="1:9" x14ac:dyDescent="0.2">
      <c r="A276">
        <v>2019</v>
      </c>
      <c r="B276">
        <v>3</v>
      </c>
      <c r="C276" t="s">
        <v>55</v>
      </c>
      <c r="D276" t="s">
        <v>60</v>
      </c>
      <c r="E276" t="s">
        <v>63</v>
      </c>
      <c r="F276" s="14">
        <v>55870618</v>
      </c>
      <c r="G276" s="14">
        <v>32865031</v>
      </c>
      <c r="H276">
        <f t="shared" si="8"/>
        <v>0</v>
      </c>
      <c r="I276" s="20">
        <f t="shared" si="9"/>
        <v>43525</v>
      </c>
    </row>
    <row r="277" spans="1:9" x14ac:dyDescent="0.2">
      <c r="A277">
        <v>2019</v>
      </c>
      <c r="B277">
        <v>3</v>
      </c>
      <c r="C277" t="s">
        <v>62</v>
      </c>
      <c r="D277" t="s">
        <v>60</v>
      </c>
      <c r="E277" t="s">
        <v>63</v>
      </c>
      <c r="F277" s="14">
        <v>32724880</v>
      </c>
      <c r="G277" s="14">
        <v>19249929</v>
      </c>
      <c r="H277">
        <f t="shared" si="8"/>
        <v>0</v>
      </c>
      <c r="I277" s="20">
        <f t="shared" si="9"/>
        <v>43525</v>
      </c>
    </row>
    <row r="278" spans="1:9" x14ac:dyDescent="0.2">
      <c r="A278">
        <v>2019</v>
      </c>
      <c r="B278">
        <v>3</v>
      </c>
      <c r="C278" t="s">
        <v>64</v>
      </c>
      <c r="D278" t="s">
        <v>60</v>
      </c>
      <c r="E278" t="s">
        <v>61</v>
      </c>
      <c r="F278" s="14">
        <v>18083989</v>
      </c>
      <c r="G278" s="14">
        <v>12055979</v>
      </c>
      <c r="H278">
        <f t="shared" si="8"/>
        <v>0</v>
      </c>
      <c r="I278" s="20">
        <f t="shared" si="9"/>
        <v>43525</v>
      </c>
    </row>
    <row r="279" spans="1:9" x14ac:dyDescent="0.2">
      <c r="A279">
        <v>2019</v>
      </c>
      <c r="B279">
        <v>3</v>
      </c>
      <c r="C279" t="s">
        <v>55</v>
      </c>
      <c r="D279" t="s">
        <v>60</v>
      </c>
      <c r="E279" t="s">
        <v>65</v>
      </c>
      <c r="F279" s="14">
        <v>294305</v>
      </c>
      <c r="G279" s="14">
        <v>183940</v>
      </c>
      <c r="H279">
        <f t="shared" si="8"/>
        <v>1</v>
      </c>
      <c r="I279" s="20">
        <f t="shared" si="9"/>
        <v>43525</v>
      </c>
    </row>
    <row r="280" spans="1:9" x14ac:dyDescent="0.2">
      <c r="A280">
        <v>2019</v>
      </c>
      <c r="B280">
        <v>3</v>
      </c>
      <c r="C280" t="s">
        <v>64</v>
      </c>
      <c r="D280" t="s">
        <v>66</v>
      </c>
      <c r="E280" t="s">
        <v>68</v>
      </c>
      <c r="F280" s="14">
        <v>6514949</v>
      </c>
      <c r="G280" s="14">
        <v>6514949</v>
      </c>
      <c r="H280">
        <f t="shared" si="8"/>
        <v>0</v>
      </c>
      <c r="I280" s="20">
        <f t="shared" si="9"/>
        <v>43525</v>
      </c>
    </row>
    <row r="281" spans="1:9" x14ac:dyDescent="0.2">
      <c r="A281">
        <v>2019</v>
      </c>
      <c r="B281">
        <v>3</v>
      </c>
      <c r="C281" t="s">
        <v>55</v>
      </c>
      <c r="D281" t="s">
        <v>66</v>
      </c>
      <c r="E281" t="s">
        <v>63</v>
      </c>
      <c r="F281" s="14">
        <v>4887899</v>
      </c>
      <c r="G281" s="14">
        <v>2875234</v>
      </c>
      <c r="H281">
        <f t="shared" si="8"/>
        <v>0</v>
      </c>
      <c r="I281" s="20">
        <f t="shared" si="9"/>
        <v>43525</v>
      </c>
    </row>
    <row r="282" spans="1:9" x14ac:dyDescent="0.2">
      <c r="A282">
        <v>2019</v>
      </c>
      <c r="B282">
        <v>3</v>
      </c>
      <c r="C282" t="s">
        <v>55</v>
      </c>
      <c r="D282" t="s">
        <v>66</v>
      </c>
      <c r="E282" t="s">
        <v>67</v>
      </c>
      <c r="F282" s="14">
        <v>2907176</v>
      </c>
      <c r="G282" s="14">
        <v>1938116</v>
      </c>
      <c r="H282">
        <f t="shared" si="8"/>
        <v>0</v>
      </c>
      <c r="I282" s="20">
        <f t="shared" si="9"/>
        <v>43525</v>
      </c>
    </row>
    <row r="283" spans="1:9" x14ac:dyDescent="0.2">
      <c r="A283">
        <v>2019</v>
      </c>
      <c r="B283">
        <v>3</v>
      </c>
      <c r="C283" t="s">
        <v>55</v>
      </c>
      <c r="D283" t="s">
        <v>66</v>
      </c>
      <c r="E283" t="s">
        <v>68</v>
      </c>
      <c r="F283" s="14">
        <v>2096964</v>
      </c>
      <c r="G283" s="14">
        <v>2096964</v>
      </c>
      <c r="H283">
        <f t="shared" si="8"/>
        <v>0</v>
      </c>
      <c r="I283" s="20">
        <f t="shared" si="9"/>
        <v>43525</v>
      </c>
    </row>
    <row r="284" spans="1:9" x14ac:dyDescent="0.2">
      <c r="A284">
        <v>2019</v>
      </c>
      <c r="B284">
        <v>3</v>
      </c>
      <c r="C284" t="s">
        <v>55</v>
      </c>
      <c r="D284" t="s">
        <v>66</v>
      </c>
      <c r="E284" t="s">
        <v>74</v>
      </c>
      <c r="F284" s="14">
        <v>1050908</v>
      </c>
      <c r="G284" s="14">
        <v>955371</v>
      </c>
      <c r="H284">
        <f t="shared" si="8"/>
        <v>0</v>
      </c>
      <c r="I284" s="20">
        <f t="shared" si="9"/>
        <v>43525</v>
      </c>
    </row>
    <row r="285" spans="1:9" x14ac:dyDescent="0.2">
      <c r="A285">
        <v>2019</v>
      </c>
      <c r="B285">
        <v>3</v>
      </c>
      <c r="C285" t="s">
        <v>55</v>
      </c>
      <c r="D285" t="s">
        <v>66</v>
      </c>
      <c r="E285" t="s">
        <v>69</v>
      </c>
      <c r="F285" s="14">
        <v>481106</v>
      </c>
      <c r="G285" s="14">
        <v>300692</v>
      </c>
      <c r="H285">
        <f t="shared" si="8"/>
        <v>0</v>
      </c>
      <c r="I285" s="20">
        <f t="shared" si="9"/>
        <v>43525</v>
      </c>
    </row>
    <row r="286" spans="1:9" x14ac:dyDescent="0.2">
      <c r="A286">
        <v>2019</v>
      </c>
      <c r="B286">
        <v>3</v>
      </c>
      <c r="C286" t="s">
        <v>55</v>
      </c>
      <c r="D286" t="s">
        <v>66</v>
      </c>
      <c r="E286" t="s">
        <v>59</v>
      </c>
      <c r="F286" s="14">
        <v>10859</v>
      </c>
      <c r="G286" s="14">
        <v>10859</v>
      </c>
      <c r="H286">
        <f t="shared" si="8"/>
        <v>0</v>
      </c>
      <c r="I286" s="20">
        <f t="shared" si="9"/>
        <v>43525</v>
      </c>
    </row>
    <row r="287" spans="1:9" x14ac:dyDescent="0.2">
      <c r="A287">
        <v>2019</v>
      </c>
      <c r="B287">
        <v>3</v>
      </c>
      <c r="C287" t="s">
        <v>55</v>
      </c>
      <c r="D287" t="s">
        <v>70</v>
      </c>
      <c r="E287" t="s">
        <v>68</v>
      </c>
      <c r="F287" s="14">
        <v>1184062717</v>
      </c>
      <c r="G287" s="14">
        <v>1184062717</v>
      </c>
      <c r="H287">
        <f t="shared" si="8"/>
        <v>0</v>
      </c>
      <c r="I287" s="20">
        <f t="shared" si="9"/>
        <v>43525</v>
      </c>
    </row>
    <row r="288" spans="1:9" x14ac:dyDescent="0.2">
      <c r="A288">
        <v>2019</v>
      </c>
      <c r="B288">
        <v>3</v>
      </c>
      <c r="C288" t="s">
        <v>62</v>
      </c>
      <c r="D288" t="s">
        <v>70</v>
      </c>
      <c r="E288" t="s">
        <v>63</v>
      </c>
      <c r="F288" s="14">
        <v>23287377</v>
      </c>
      <c r="G288" s="14">
        <v>13698457</v>
      </c>
      <c r="H288">
        <f t="shared" si="8"/>
        <v>0</v>
      </c>
      <c r="I288" s="20">
        <f t="shared" si="9"/>
        <v>43525</v>
      </c>
    </row>
    <row r="289" spans="1:9" x14ac:dyDescent="0.2">
      <c r="A289">
        <v>2019</v>
      </c>
      <c r="B289">
        <v>3</v>
      </c>
      <c r="C289" t="s">
        <v>64</v>
      </c>
      <c r="D289" t="s">
        <v>70</v>
      </c>
      <c r="E289" t="s">
        <v>68</v>
      </c>
      <c r="F289" s="14">
        <v>981894</v>
      </c>
      <c r="G289" s="14">
        <v>981894</v>
      </c>
      <c r="H289">
        <f t="shared" si="8"/>
        <v>0</v>
      </c>
      <c r="I289" s="20">
        <f t="shared" si="9"/>
        <v>43525</v>
      </c>
    </row>
    <row r="290" spans="1:9" x14ac:dyDescent="0.2">
      <c r="A290">
        <v>2019</v>
      </c>
      <c r="B290">
        <v>3</v>
      </c>
      <c r="C290" t="s">
        <v>64</v>
      </c>
      <c r="D290" t="s">
        <v>71</v>
      </c>
      <c r="E290" t="s">
        <v>72</v>
      </c>
      <c r="F290" s="14">
        <v>423217</v>
      </c>
      <c r="G290" s="14">
        <v>423217</v>
      </c>
      <c r="H290">
        <f t="shared" si="8"/>
        <v>0</v>
      </c>
      <c r="I290" s="20">
        <f t="shared" si="9"/>
        <v>43525</v>
      </c>
    </row>
    <row r="291" spans="1:9" x14ac:dyDescent="0.2">
      <c r="A291">
        <v>2019</v>
      </c>
      <c r="B291">
        <v>4</v>
      </c>
      <c r="C291" t="s">
        <v>55</v>
      </c>
      <c r="D291" t="s">
        <v>56</v>
      </c>
      <c r="E291" t="s">
        <v>59</v>
      </c>
      <c r="F291" s="14">
        <v>25619818</v>
      </c>
      <c r="G291" s="14">
        <v>25619818</v>
      </c>
      <c r="H291">
        <f t="shared" si="8"/>
        <v>0</v>
      </c>
      <c r="I291" s="20">
        <f t="shared" si="9"/>
        <v>43556</v>
      </c>
    </row>
    <row r="292" spans="1:9" x14ac:dyDescent="0.2">
      <c r="A292">
        <v>2019</v>
      </c>
      <c r="B292">
        <v>4</v>
      </c>
      <c r="C292" t="s">
        <v>55</v>
      </c>
      <c r="D292" t="s">
        <v>56</v>
      </c>
      <c r="E292" t="s">
        <v>58</v>
      </c>
      <c r="F292" s="14">
        <v>4446649</v>
      </c>
      <c r="G292" s="14">
        <v>4446649</v>
      </c>
      <c r="H292">
        <f t="shared" si="8"/>
        <v>0</v>
      </c>
      <c r="I292" s="20">
        <f t="shared" si="9"/>
        <v>43556</v>
      </c>
    </row>
    <row r="293" spans="1:9" x14ac:dyDescent="0.2">
      <c r="A293">
        <v>2019</v>
      </c>
      <c r="B293">
        <v>4</v>
      </c>
      <c r="C293" t="s">
        <v>64</v>
      </c>
      <c r="D293" t="s">
        <v>56</v>
      </c>
      <c r="E293" t="s">
        <v>58</v>
      </c>
      <c r="F293" s="14">
        <v>2076677</v>
      </c>
      <c r="G293" s="14">
        <v>2076677</v>
      </c>
      <c r="H293">
        <f t="shared" si="8"/>
        <v>0</v>
      </c>
      <c r="I293" s="20">
        <f t="shared" si="9"/>
        <v>43556</v>
      </c>
    </row>
    <row r="294" spans="1:9" x14ac:dyDescent="0.2">
      <c r="A294">
        <v>2019</v>
      </c>
      <c r="B294">
        <v>4</v>
      </c>
      <c r="C294" t="s">
        <v>64</v>
      </c>
      <c r="D294" t="s">
        <v>56</v>
      </c>
      <c r="E294" t="s">
        <v>59</v>
      </c>
      <c r="F294" s="14">
        <v>925962</v>
      </c>
      <c r="G294" s="14">
        <v>925962</v>
      </c>
      <c r="H294">
        <f t="shared" si="8"/>
        <v>0</v>
      </c>
      <c r="I294" s="20">
        <f t="shared" si="9"/>
        <v>43556</v>
      </c>
    </row>
    <row r="295" spans="1:9" x14ac:dyDescent="0.2">
      <c r="A295">
        <v>2019</v>
      </c>
      <c r="B295">
        <v>4</v>
      </c>
      <c r="C295" t="s">
        <v>55</v>
      </c>
      <c r="D295" t="s">
        <v>56</v>
      </c>
      <c r="E295" t="s">
        <v>57</v>
      </c>
      <c r="F295" s="14">
        <v>401898</v>
      </c>
      <c r="G295" s="14">
        <v>401898</v>
      </c>
      <c r="H295">
        <f t="shared" si="8"/>
        <v>0</v>
      </c>
      <c r="I295" s="20">
        <f t="shared" si="9"/>
        <v>43556</v>
      </c>
    </row>
    <row r="296" spans="1:9" x14ac:dyDescent="0.2">
      <c r="A296">
        <v>2019</v>
      </c>
      <c r="B296">
        <v>4</v>
      </c>
      <c r="C296" t="s">
        <v>55</v>
      </c>
      <c r="D296" t="s">
        <v>60</v>
      </c>
      <c r="E296" t="s">
        <v>61</v>
      </c>
      <c r="F296" s="14">
        <v>241336169</v>
      </c>
      <c r="G296" s="14">
        <v>160888556</v>
      </c>
      <c r="H296">
        <f t="shared" si="8"/>
        <v>0</v>
      </c>
      <c r="I296" s="20">
        <f t="shared" si="9"/>
        <v>43556</v>
      </c>
    </row>
    <row r="297" spans="1:9" x14ac:dyDescent="0.2">
      <c r="A297">
        <v>2019</v>
      </c>
      <c r="B297">
        <v>4</v>
      </c>
      <c r="C297" t="s">
        <v>55</v>
      </c>
      <c r="D297" t="s">
        <v>60</v>
      </c>
      <c r="E297" t="s">
        <v>63</v>
      </c>
      <c r="F297" s="14">
        <v>60455021</v>
      </c>
      <c r="G297" s="14">
        <v>35561760</v>
      </c>
      <c r="H297">
        <f t="shared" si="8"/>
        <v>0</v>
      </c>
      <c r="I297" s="20">
        <f t="shared" si="9"/>
        <v>43556</v>
      </c>
    </row>
    <row r="298" spans="1:9" x14ac:dyDescent="0.2">
      <c r="A298">
        <v>2019</v>
      </c>
      <c r="B298">
        <v>4</v>
      </c>
      <c r="C298" t="s">
        <v>62</v>
      </c>
      <c r="D298" t="s">
        <v>60</v>
      </c>
      <c r="E298" t="s">
        <v>63</v>
      </c>
      <c r="F298" s="14">
        <v>41760773</v>
      </c>
      <c r="G298" s="14">
        <v>24565160</v>
      </c>
      <c r="H298">
        <f t="shared" si="8"/>
        <v>0</v>
      </c>
      <c r="I298" s="20">
        <f t="shared" si="9"/>
        <v>43556</v>
      </c>
    </row>
    <row r="299" spans="1:9" x14ac:dyDescent="0.2">
      <c r="A299">
        <v>2019</v>
      </c>
      <c r="B299">
        <v>4</v>
      </c>
      <c r="C299" t="s">
        <v>64</v>
      </c>
      <c r="D299" t="s">
        <v>60</v>
      </c>
      <c r="E299" t="s">
        <v>61</v>
      </c>
      <c r="F299" s="14">
        <v>32280238</v>
      </c>
      <c r="G299" s="14">
        <v>21520142</v>
      </c>
      <c r="H299">
        <f t="shared" si="8"/>
        <v>0</v>
      </c>
      <c r="I299" s="20">
        <f t="shared" si="9"/>
        <v>43556</v>
      </c>
    </row>
    <row r="300" spans="1:9" x14ac:dyDescent="0.2">
      <c r="A300">
        <v>2019</v>
      </c>
      <c r="B300">
        <v>4</v>
      </c>
      <c r="C300" t="s">
        <v>55</v>
      </c>
      <c r="D300" t="s">
        <v>60</v>
      </c>
      <c r="E300" t="s">
        <v>65</v>
      </c>
      <c r="F300" s="14">
        <v>393560</v>
      </c>
      <c r="G300" s="14">
        <v>245975</v>
      </c>
      <c r="H300">
        <f t="shared" si="8"/>
        <v>1</v>
      </c>
      <c r="I300" s="20">
        <f t="shared" si="9"/>
        <v>43556</v>
      </c>
    </row>
    <row r="301" spans="1:9" x14ac:dyDescent="0.2">
      <c r="A301">
        <v>2019</v>
      </c>
      <c r="B301">
        <v>4</v>
      </c>
      <c r="C301" t="s">
        <v>64</v>
      </c>
      <c r="D301" t="s">
        <v>66</v>
      </c>
      <c r="E301" t="s">
        <v>68</v>
      </c>
      <c r="F301" s="14">
        <v>13423497</v>
      </c>
      <c r="G301" s="14">
        <v>13423497</v>
      </c>
      <c r="H301">
        <f t="shared" si="8"/>
        <v>0</v>
      </c>
      <c r="I301" s="20">
        <f t="shared" si="9"/>
        <v>43556</v>
      </c>
    </row>
    <row r="302" spans="1:9" x14ac:dyDescent="0.2">
      <c r="A302">
        <v>2019</v>
      </c>
      <c r="B302">
        <v>4</v>
      </c>
      <c r="C302" t="s">
        <v>55</v>
      </c>
      <c r="D302" t="s">
        <v>66</v>
      </c>
      <c r="E302" t="s">
        <v>63</v>
      </c>
      <c r="F302" s="14">
        <v>5092649</v>
      </c>
      <c r="G302" s="14">
        <v>2995674</v>
      </c>
      <c r="H302">
        <f t="shared" si="8"/>
        <v>0</v>
      </c>
      <c r="I302" s="20">
        <f t="shared" si="9"/>
        <v>43556</v>
      </c>
    </row>
    <row r="303" spans="1:9" x14ac:dyDescent="0.2">
      <c r="A303">
        <v>2019</v>
      </c>
      <c r="B303">
        <v>4</v>
      </c>
      <c r="C303" t="s">
        <v>55</v>
      </c>
      <c r="D303" t="s">
        <v>66</v>
      </c>
      <c r="E303" t="s">
        <v>67</v>
      </c>
      <c r="F303" s="14">
        <v>2839046</v>
      </c>
      <c r="G303" s="14">
        <v>1892697</v>
      </c>
      <c r="H303">
        <f t="shared" si="8"/>
        <v>0</v>
      </c>
      <c r="I303" s="20">
        <f t="shared" si="9"/>
        <v>43556</v>
      </c>
    </row>
    <row r="304" spans="1:9" x14ac:dyDescent="0.2">
      <c r="A304">
        <v>2019</v>
      </c>
      <c r="B304">
        <v>4</v>
      </c>
      <c r="C304" t="s">
        <v>55</v>
      </c>
      <c r="D304" t="s">
        <v>66</v>
      </c>
      <c r="E304" t="s">
        <v>68</v>
      </c>
      <c r="F304" s="14">
        <v>1881112</v>
      </c>
      <c r="G304" s="14">
        <v>1881112</v>
      </c>
      <c r="H304">
        <f t="shared" si="8"/>
        <v>0</v>
      </c>
      <c r="I304" s="20">
        <f t="shared" si="9"/>
        <v>43556</v>
      </c>
    </row>
    <row r="305" spans="1:9" x14ac:dyDescent="0.2">
      <c r="A305">
        <v>2019</v>
      </c>
      <c r="B305">
        <v>4</v>
      </c>
      <c r="C305" t="s">
        <v>55</v>
      </c>
      <c r="D305" t="s">
        <v>66</v>
      </c>
      <c r="E305" t="s">
        <v>74</v>
      </c>
      <c r="F305" s="14">
        <v>535422</v>
      </c>
      <c r="G305" s="14">
        <v>486747</v>
      </c>
      <c r="H305">
        <f t="shared" si="8"/>
        <v>0</v>
      </c>
      <c r="I305" s="20">
        <f t="shared" si="9"/>
        <v>43556</v>
      </c>
    </row>
    <row r="306" spans="1:9" x14ac:dyDescent="0.2">
      <c r="A306">
        <v>2019</v>
      </c>
      <c r="B306">
        <v>4</v>
      </c>
      <c r="C306" t="s">
        <v>55</v>
      </c>
      <c r="D306" t="s">
        <v>66</v>
      </c>
      <c r="E306" t="s">
        <v>69</v>
      </c>
      <c r="F306" s="14">
        <v>249595</v>
      </c>
      <c r="G306" s="14">
        <v>155995</v>
      </c>
      <c r="H306">
        <f t="shared" si="8"/>
        <v>0</v>
      </c>
      <c r="I306" s="20">
        <f t="shared" si="9"/>
        <v>43556</v>
      </c>
    </row>
    <row r="307" spans="1:9" x14ac:dyDescent="0.2">
      <c r="A307">
        <v>2019</v>
      </c>
      <c r="B307">
        <v>4</v>
      </c>
      <c r="C307" t="s">
        <v>55</v>
      </c>
      <c r="D307" t="s">
        <v>66</v>
      </c>
      <c r="E307" t="s">
        <v>59</v>
      </c>
      <c r="F307" s="14">
        <v>6004</v>
      </c>
      <c r="G307" s="14">
        <v>6004</v>
      </c>
      <c r="H307">
        <f t="shared" si="8"/>
        <v>0</v>
      </c>
      <c r="I307" s="20">
        <f t="shared" si="9"/>
        <v>43556</v>
      </c>
    </row>
    <row r="308" spans="1:9" x14ac:dyDescent="0.2">
      <c r="A308">
        <v>2019</v>
      </c>
      <c r="B308">
        <v>4</v>
      </c>
      <c r="C308" t="s">
        <v>55</v>
      </c>
      <c r="D308" t="s">
        <v>70</v>
      </c>
      <c r="E308" t="s">
        <v>68</v>
      </c>
      <c r="F308" s="14">
        <v>1237246735</v>
      </c>
      <c r="G308" s="14">
        <v>1237246735</v>
      </c>
      <c r="H308">
        <f t="shared" si="8"/>
        <v>0</v>
      </c>
      <c r="I308" s="20">
        <f t="shared" si="9"/>
        <v>43556</v>
      </c>
    </row>
    <row r="309" spans="1:9" x14ac:dyDescent="0.2">
      <c r="A309">
        <v>2019</v>
      </c>
      <c r="B309">
        <v>4</v>
      </c>
      <c r="C309" t="s">
        <v>62</v>
      </c>
      <c r="D309" t="s">
        <v>70</v>
      </c>
      <c r="E309" t="s">
        <v>63</v>
      </c>
      <c r="F309" s="14">
        <v>18950145</v>
      </c>
      <c r="G309" s="14">
        <v>11147144</v>
      </c>
      <c r="H309">
        <f t="shared" si="8"/>
        <v>0</v>
      </c>
      <c r="I309" s="20">
        <f t="shared" si="9"/>
        <v>43556</v>
      </c>
    </row>
    <row r="310" spans="1:9" x14ac:dyDescent="0.2">
      <c r="A310">
        <v>2019</v>
      </c>
      <c r="B310">
        <v>4</v>
      </c>
      <c r="C310" t="s">
        <v>64</v>
      </c>
      <c r="D310" t="s">
        <v>70</v>
      </c>
      <c r="E310" t="s">
        <v>68</v>
      </c>
      <c r="F310" s="14">
        <v>932842</v>
      </c>
      <c r="G310" s="14">
        <v>932842</v>
      </c>
      <c r="H310">
        <f t="shared" si="8"/>
        <v>0</v>
      </c>
      <c r="I310" s="20">
        <f t="shared" si="9"/>
        <v>43556</v>
      </c>
    </row>
    <row r="311" spans="1:9" x14ac:dyDescent="0.2">
      <c r="A311">
        <v>2019</v>
      </c>
      <c r="B311">
        <v>4</v>
      </c>
      <c r="C311" t="s">
        <v>64</v>
      </c>
      <c r="D311" t="s">
        <v>71</v>
      </c>
      <c r="E311" t="s">
        <v>72</v>
      </c>
      <c r="F311" s="14">
        <v>239288</v>
      </c>
      <c r="G311" s="14">
        <v>239288</v>
      </c>
      <c r="H311">
        <f t="shared" si="8"/>
        <v>0</v>
      </c>
      <c r="I311" s="20">
        <f t="shared" si="9"/>
        <v>43556</v>
      </c>
    </row>
    <row r="312" spans="1:9" x14ac:dyDescent="0.2">
      <c r="A312">
        <v>2019</v>
      </c>
      <c r="B312">
        <v>5</v>
      </c>
      <c r="C312" t="s">
        <v>55</v>
      </c>
      <c r="D312" t="s">
        <v>56</v>
      </c>
      <c r="E312" t="s">
        <v>59</v>
      </c>
      <c r="F312" s="14">
        <v>25280275</v>
      </c>
      <c r="G312" s="14">
        <v>25280275</v>
      </c>
      <c r="H312">
        <f t="shared" si="8"/>
        <v>0</v>
      </c>
      <c r="I312" s="20">
        <f t="shared" si="9"/>
        <v>43586</v>
      </c>
    </row>
    <row r="313" spans="1:9" x14ac:dyDescent="0.2">
      <c r="A313">
        <v>2019</v>
      </c>
      <c r="B313">
        <v>5</v>
      </c>
      <c r="C313" t="s">
        <v>55</v>
      </c>
      <c r="D313" t="s">
        <v>56</v>
      </c>
      <c r="E313" t="s">
        <v>58</v>
      </c>
      <c r="F313" s="14">
        <v>2427400</v>
      </c>
      <c r="G313" s="14">
        <v>2427400</v>
      </c>
      <c r="H313">
        <f t="shared" si="8"/>
        <v>0</v>
      </c>
      <c r="I313" s="20">
        <f t="shared" si="9"/>
        <v>43586</v>
      </c>
    </row>
    <row r="314" spans="1:9" x14ac:dyDescent="0.2">
      <c r="A314">
        <v>2019</v>
      </c>
      <c r="B314">
        <v>5</v>
      </c>
      <c r="C314" t="s">
        <v>64</v>
      </c>
      <c r="D314" t="s">
        <v>56</v>
      </c>
      <c r="E314" t="s">
        <v>58</v>
      </c>
      <c r="F314" s="14">
        <v>2025206</v>
      </c>
      <c r="G314" s="14">
        <v>2025206</v>
      </c>
      <c r="H314">
        <f t="shared" si="8"/>
        <v>0</v>
      </c>
      <c r="I314" s="20">
        <f t="shared" si="9"/>
        <v>43586</v>
      </c>
    </row>
    <row r="315" spans="1:9" x14ac:dyDescent="0.2">
      <c r="A315">
        <v>2019</v>
      </c>
      <c r="B315">
        <v>5</v>
      </c>
      <c r="C315" t="s">
        <v>64</v>
      </c>
      <c r="D315" t="s">
        <v>56</v>
      </c>
      <c r="E315" t="s">
        <v>59</v>
      </c>
      <c r="F315" s="14">
        <v>809299</v>
      </c>
      <c r="G315" s="14">
        <v>809299</v>
      </c>
      <c r="H315">
        <f t="shared" si="8"/>
        <v>0</v>
      </c>
      <c r="I315" s="20">
        <f t="shared" si="9"/>
        <v>43586</v>
      </c>
    </row>
    <row r="316" spans="1:9" x14ac:dyDescent="0.2">
      <c r="A316">
        <v>2019</v>
      </c>
      <c r="B316">
        <v>5</v>
      </c>
      <c r="C316" t="s">
        <v>55</v>
      </c>
      <c r="D316" t="s">
        <v>56</v>
      </c>
      <c r="E316" t="s">
        <v>57</v>
      </c>
      <c r="F316" s="14">
        <v>440284</v>
      </c>
      <c r="G316" s="14">
        <v>440284</v>
      </c>
      <c r="H316">
        <f t="shared" si="8"/>
        <v>0</v>
      </c>
      <c r="I316" s="20">
        <f t="shared" si="9"/>
        <v>43586</v>
      </c>
    </row>
    <row r="317" spans="1:9" x14ac:dyDescent="0.2">
      <c r="A317">
        <v>2019</v>
      </c>
      <c r="B317">
        <v>5</v>
      </c>
      <c r="C317" t="s">
        <v>55</v>
      </c>
      <c r="D317" t="s">
        <v>60</v>
      </c>
      <c r="E317" t="s">
        <v>61</v>
      </c>
      <c r="F317" s="14">
        <v>246067317</v>
      </c>
      <c r="G317" s="14">
        <v>164042436</v>
      </c>
      <c r="H317">
        <f t="shared" si="8"/>
        <v>0</v>
      </c>
      <c r="I317" s="20">
        <f t="shared" si="9"/>
        <v>43586</v>
      </c>
    </row>
    <row r="318" spans="1:9" x14ac:dyDescent="0.2">
      <c r="A318">
        <v>2019</v>
      </c>
      <c r="B318">
        <v>5</v>
      </c>
      <c r="C318" t="s">
        <v>55</v>
      </c>
      <c r="D318" t="s">
        <v>60</v>
      </c>
      <c r="E318" t="s">
        <v>63</v>
      </c>
      <c r="F318" s="14">
        <v>62754896</v>
      </c>
      <c r="G318" s="14">
        <v>36914619</v>
      </c>
      <c r="H318">
        <f t="shared" si="8"/>
        <v>0</v>
      </c>
      <c r="I318" s="20">
        <f t="shared" si="9"/>
        <v>43586</v>
      </c>
    </row>
    <row r="319" spans="1:9" x14ac:dyDescent="0.2">
      <c r="A319">
        <v>2019</v>
      </c>
      <c r="B319">
        <v>5</v>
      </c>
      <c r="C319" t="s">
        <v>62</v>
      </c>
      <c r="D319" t="s">
        <v>60</v>
      </c>
      <c r="E319" t="s">
        <v>63</v>
      </c>
      <c r="F319" s="14">
        <v>50228401</v>
      </c>
      <c r="G319" s="14">
        <v>29546118</v>
      </c>
      <c r="H319">
        <f t="shared" si="8"/>
        <v>0</v>
      </c>
      <c r="I319" s="20">
        <f t="shared" si="9"/>
        <v>43586</v>
      </c>
    </row>
    <row r="320" spans="1:9" x14ac:dyDescent="0.2">
      <c r="A320">
        <v>2019</v>
      </c>
      <c r="B320">
        <v>5</v>
      </c>
      <c r="C320" t="s">
        <v>64</v>
      </c>
      <c r="D320" t="s">
        <v>60</v>
      </c>
      <c r="E320" t="s">
        <v>61</v>
      </c>
      <c r="F320" s="14">
        <v>23483648</v>
      </c>
      <c r="G320" s="14">
        <v>15655745</v>
      </c>
      <c r="H320">
        <f t="shared" si="8"/>
        <v>0</v>
      </c>
      <c r="I320" s="20">
        <f t="shared" si="9"/>
        <v>43586</v>
      </c>
    </row>
    <row r="321" spans="1:9" x14ac:dyDescent="0.2">
      <c r="A321">
        <v>2019</v>
      </c>
      <c r="B321">
        <v>5</v>
      </c>
      <c r="C321" t="s">
        <v>55</v>
      </c>
      <c r="D321" t="s">
        <v>60</v>
      </c>
      <c r="E321" t="s">
        <v>65</v>
      </c>
      <c r="F321" s="14">
        <v>406860</v>
      </c>
      <c r="G321" s="14">
        <v>254288</v>
      </c>
      <c r="H321">
        <f t="shared" si="8"/>
        <v>1</v>
      </c>
      <c r="I321" s="20">
        <f t="shared" si="9"/>
        <v>43586</v>
      </c>
    </row>
    <row r="322" spans="1:9" x14ac:dyDescent="0.2">
      <c r="A322">
        <v>2019</v>
      </c>
      <c r="B322">
        <v>5</v>
      </c>
      <c r="C322" t="s">
        <v>55</v>
      </c>
      <c r="D322" t="s">
        <v>66</v>
      </c>
      <c r="E322" t="s">
        <v>63</v>
      </c>
      <c r="F322" s="14">
        <v>5896000</v>
      </c>
      <c r="G322" s="14">
        <v>3468236</v>
      </c>
      <c r="H322">
        <f t="shared" si="8"/>
        <v>0</v>
      </c>
      <c r="I322" s="20">
        <f t="shared" si="9"/>
        <v>43586</v>
      </c>
    </row>
    <row r="323" spans="1:9" x14ac:dyDescent="0.2">
      <c r="A323">
        <v>2019</v>
      </c>
      <c r="B323">
        <v>5</v>
      </c>
      <c r="C323" t="s">
        <v>55</v>
      </c>
      <c r="D323" t="s">
        <v>66</v>
      </c>
      <c r="E323" t="s">
        <v>67</v>
      </c>
      <c r="F323" s="14">
        <v>3181304</v>
      </c>
      <c r="G323" s="14">
        <v>2120869</v>
      </c>
      <c r="H323">
        <f t="shared" ref="H323:H386" si="10">--ISNUMBER(SEARCH("Jet Fuel",E323))</f>
        <v>0</v>
      </c>
      <c r="I323" s="20">
        <f t="shared" ref="I323:I386" si="11">DATE(A323,B323,1)</f>
        <v>43586</v>
      </c>
    </row>
    <row r="324" spans="1:9" x14ac:dyDescent="0.2">
      <c r="A324">
        <v>2019</v>
      </c>
      <c r="B324">
        <v>5</v>
      </c>
      <c r="C324" t="s">
        <v>55</v>
      </c>
      <c r="D324" t="s">
        <v>66</v>
      </c>
      <c r="E324" t="s">
        <v>68</v>
      </c>
      <c r="F324" s="14">
        <v>2180038</v>
      </c>
      <c r="G324" s="14">
        <v>2180038</v>
      </c>
      <c r="H324">
        <f t="shared" si="10"/>
        <v>0</v>
      </c>
      <c r="I324" s="20">
        <f t="shared" si="11"/>
        <v>43586</v>
      </c>
    </row>
    <row r="325" spans="1:9" x14ac:dyDescent="0.2">
      <c r="A325">
        <v>2019</v>
      </c>
      <c r="B325">
        <v>5</v>
      </c>
      <c r="C325" t="s">
        <v>55</v>
      </c>
      <c r="D325" t="s">
        <v>66</v>
      </c>
      <c r="E325" t="s">
        <v>75</v>
      </c>
      <c r="F325" s="14">
        <v>715635</v>
      </c>
      <c r="G325" s="14">
        <v>511168</v>
      </c>
      <c r="H325">
        <f t="shared" si="10"/>
        <v>0</v>
      </c>
      <c r="I325" s="20">
        <f t="shared" si="11"/>
        <v>43586</v>
      </c>
    </row>
    <row r="326" spans="1:9" x14ac:dyDescent="0.2">
      <c r="A326">
        <v>2019</v>
      </c>
      <c r="B326">
        <v>5</v>
      </c>
      <c r="C326" t="s">
        <v>55</v>
      </c>
      <c r="D326" t="s">
        <v>66</v>
      </c>
      <c r="E326" t="s">
        <v>74</v>
      </c>
      <c r="F326" s="14">
        <v>420071</v>
      </c>
      <c r="G326" s="14">
        <v>381883</v>
      </c>
      <c r="H326">
        <f t="shared" si="10"/>
        <v>0</v>
      </c>
      <c r="I326" s="20">
        <f t="shared" si="11"/>
        <v>43586</v>
      </c>
    </row>
    <row r="327" spans="1:9" x14ac:dyDescent="0.2">
      <c r="A327">
        <v>2019</v>
      </c>
      <c r="B327">
        <v>5</v>
      </c>
      <c r="C327" t="s">
        <v>55</v>
      </c>
      <c r="D327" t="s">
        <v>66</v>
      </c>
      <c r="E327" t="s">
        <v>69</v>
      </c>
      <c r="F327" s="14">
        <v>193144</v>
      </c>
      <c r="G327" s="14">
        <v>120715</v>
      </c>
      <c r="H327">
        <f t="shared" si="10"/>
        <v>0</v>
      </c>
      <c r="I327" s="20">
        <f t="shared" si="11"/>
        <v>43586</v>
      </c>
    </row>
    <row r="328" spans="1:9" x14ac:dyDescent="0.2">
      <c r="A328">
        <v>2019</v>
      </c>
      <c r="B328">
        <v>5</v>
      </c>
      <c r="C328" t="s">
        <v>55</v>
      </c>
      <c r="D328" t="s">
        <v>66</v>
      </c>
      <c r="E328" t="s">
        <v>59</v>
      </c>
      <c r="F328" s="14">
        <v>9006</v>
      </c>
      <c r="G328" s="14">
        <v>9006</v>
      </c>
      <c r="H328">
        <f t="shared" si="10"/>
        <v>0</v>
      </c>
      <c r="I328" s="20">
        <f t="shared" si="11"/>
        <v>43586</v>
      </c>
    </row>
    <row r="329" spans="1:9" x14ac:dyDescent="0.2">
      <c r="A329">
        <v>2019</v>
      </c>
      <c r="B329">
        <v>5</v>
      </c>
      <c r="C329" t="s">
        <v>55</v>
      </c>
      <c r="D329" t="s">
        <v>70</v>
      </c>
      <c r="E329" t="s">
        <v>68</v>
      </c>
      <c r="F329" s="14">
        <v>1276709047</v>
      </c>
      <c r="G329" s="14">
        <v>1276709047</v>
      </c>
      <c r="H329">
        <f t="shared" si="10"/>
        <v>0</v>
      </c>
      <c r="I329" s="20">
        <f t="shared" si="11"/>
        <v>43586</v>
      </c>
    </row>
    <row r="330" spans="1:9" x14ac:dyDescent="0.2">
      <c r="A330">
        <v>2019</v>
      </c>
      <c r="B330">
        <v>5</v>
      </c>
      <c r="C330" t="s">
        <v>62</v>
      </c>
      <c r="D330" t="s">
        <v>70</v>
      </c>
      <c r="E330" t="s">
        <v>63</v>
      </c>
      <c r="F330" s="14">
        <v>12031811</v>
      </c>
      <c r="G330" s="14">
        <v>7077536</v>
      </c>
      <c r="H330">
        <f t="shared" si="10"/>
        <v>0</v>
      </c>
      <c r="I330" s="20">
        <f t="shared" si="11"/>
        <v>43586</v>
      </c>
    </row>
    <row r="331" spans="1:9" x14ac:dyDescent="0.2">
      <c r="A331">
        <v>2019</v>
      </c>
      <c r="B331">
        <v>5</v>
      </c>
      <c r="C331" t="s">
        <v>64</v>
      </c>
      <c r="D331" t="s">
        <v>70</v>
      </c>
      <c r="E331" t="s">
        <v>68</v>
      </c>
      <c r="F331" s="14">
        <v>1192213</v>
      </c>
      <c r="G331" s="14">
        <v>1192213</v>
      </c>
      <c r="H331">
        <f t="shared" si="10"/>
        <v>0</v>
      </c>
      <c r="I331" s="20">
        <f t="shared" si="11"/>
        <v>43586</v>
      </c>
    </row>
    <row r="332" spans="1:9" x14ac:dyDescent="0.2">
      <c r="A332">
        <v>2019</v>
      </c>
      <c r="B332">
        <v>5</v>
      </c>
      <c r="C332" t="s">
        <v>64</v>
      </c>
      <c r="D332" t="s">
        <v>71</v>
      </c>
      <c r="E332" t="s">
        <v>72</v>
      </c>
      <c r="F332" s="14">
        <v>132150</v>
      </c>
      <c r="G332" s="14">
        <v>132150</v>
      </c>
      <c r="H332">
        <f t="shared" si="10"/>
        <v>0</v>
      </c>
      <c r="I332" s="20">
        <f t="shared" si="11"/>
        <v>43586</v>
      </c>
    </row>
    <row r="333" spans="1:9" x14ac:dyDescent="0.2">
      <c r="A333">
        <v>2019</v>
      </c>
      <c r="B333">
        <v>6</v>
      </c>
      <c r="C333" t="s">
        <v>55</v>
      </c>
      <c r="D333" t="s">
        <v>56</v>
      </c>
      <c r="E333" t="s">
        <v>59</v>
      </c>
      <c r="F333" s="14">
        <v>29926723</v>
      </c>
      <c r="G333" s="14">
        <v>29926723</v>
      </c>
      <c r="H333">
        <f t="shared" si="10"/>
        <v>0</v>
      </c>
      <c r="I333" s="20">
        <f t="shared" si="11"/>
        <v>43617</v>
      </c>
    </row>
    <row r="334" spans="1:9" x14ac:dyDescent="0.2">
      <c r="A334">
        <v>2019</v>
      </c>
      <c r="B334">
        <v>6</v>
      </c>
      <c r="C334" t="s">
        <v>55</v>
      </c>
      <c r="D334" t="s">
        <v>56</v>
      </c>
      <c r="E334" t="s">
        <v>58</v>
      </c>
      <c r="F334" s="14">
        <v>3752615</v>
      </c>
      <c r="G334" s="14">
        <v>3752615</v>
      </c>
      <c r="H334">
        <f t="shared" si="10"/>
        <v>0</v>
      </c>
      <c r="I334" s="20">
        <f t="shared" si="11"/>
        <v>43617</v>
      </c>
    </row>
    <row r="335" spans="1:9" x14ac:dyDescent="0.2">
      <c r="A335">
        <v>2019</v>
      </c>
      <c r="B335">
        <v>6</v>
      </c>
      <c r="C335" t="s">
        <v>64</v>
      </c>
      <c r="D335" t="s">
        <v>56</v>
      </c>
      <c r="E335" t="s">
        <v>58</v>
      </c>
      <c r="F335" s="14">
        <v>2082998</v>
      </c>
      <c r="G335" s="14">
        <v>2082998</v>
      </c>
      <c r="H335">
        <f t="shared" si="10"/>
        <v>0</v>
      </c>
      <c r="I335" s="20">
        <f t="shared" si="11"/>
        <v>43617</v>
      </c>
    </row>
    <row r="336" spans="1:9" x14ac:dyDescent="0.2">
      <c r="A336">
        <v>2019</v>
      </c>
      <c r="B336">
        <v>6</v>
      </c>
      <c r="C336" t="s">
        <v>64</v>
      </c>
      <c r="D336" t="s">
        <v>56</v>
      </c>
      <c r="E336" t="s">
        <v>59</v>
      </c>
      <c r="F336" s="14">
        <v>1036914</v>
      </c>
      <c r="G336" s="14">
        <v>1036914</v>
      </c>
      <c r="H336">
        <f t="shared" si="10"/>
        <v>0</v>
      </c>
      <c r="I336" s="20">
        <f t="shared" si="11"/>
        <v>43617</v>
      </c>
    </row>
    <row r="337" spans="1:9" x14ac:dyDescent="0.2">
      <c r="A337">
        <v>2019</v>
      </c>
      <c r="B337">
        <v>6</v>
      </c>
      <c r="C337" t="s">
        <v>55</v>
      </c>
      <c r="D337" t="s">
        <v>56</v>
      </c>
      <c r="E337" t="s">
        <v>57</v>
      </c>
      <c r="F337" s="14">
        <v>175766</v>
      </c>
      <c r="G337" s="14">
        <v>175766</v>
      </c>
      <c r="H337">
        <f t="shared" si="10"/>
        <v>0</v>
      </c>
      <c r="I337" s="20">
        <f t="shared" si="11"/>
        <v>43617</v>
      </c>
    </row>
    <row r="338" spans="1:9" x14ac:dyDescent="0.2">
      <c r="A338">
        <v>2019</v>
      </c>
      <c r="B338">
        <v>6</v>
      </c>
      <c r="C338" t="s">
        <v>55</v>
      </c>
      <c r="D338" t="s">
        <v>60</v>
      </c>
      <c r="E338" t="s">
        <v>61</v>
      </c>
      <c r="F338" s="14">
        <v>216156767</v>
      </c>
      <c r="G338" s="14">
        <v>144102423</v>
      </c>
      <c r="H338">
        <f t="shared" si="10"/>
        <v>0</v>
      </c>
      <c r="I338" s="20">
        <f t="shared" si="11"/>
        <v>43617</v>
      </c>
    </row>
    <row r="339" spans="1:9" x14ac:dyDescent="0.2">
      <c r="A339">
        <v>2019</v>
      </c>
      <c r="B339">
        <v>6</v>
      </c>
      <c r="C339" t="s">
        <v>55</v>
      </c>
      <c r="D339" t="s">
        <v>60</v>
      </c>
      <c r="E339" t="s">
        <v>63</v>
      </c>
      <c r="F339" s="14">
        <v>63384996</v>
      </c>
      <c r="G339" s="14">
        <v>37285265</v>
      </c>
      <c r="H339">
        <f t="shared" si="10"/>
        <v>0</v>
      </c>
      <c r="I339" s="20">
        <f t="shared" si="11"/>
        <v>43617</v>
      </c>
    </row>
    <row r="340" spans="1:9" x14ac:dyDescent="0.2">
      <c r="A340">
        <v>2019</v>
      </c>
      <c r="B340">
        <v>6</v>
      </c>
      <c r="C340" t="s">
        <v>62</v>
      </c>
      <c r="D340" t="s">
        <v>60</v>
      </c>
      <c r="E340" t="s">
        <v>63</v>
      </c>
      <c r="F340" s="14">
        <v>48795325</v>
      </c>
      <c r="G340" s="14">
        <v>28703132</v>
      </c>
      <c r="H340">
        <f t="shared" si="10"/>
        <v>0</v>
      </c>
      <c r="I340" s="20">
        <f t="shared" si="11"/>
        <v>43617</v>
      </c>
    </row>
    <row r="341" spans="1:9" x14ac:dyDescent="0.2">
      <c r="A341">
        <v>2019</v>
      </c>
      <c r="B341">
        <v>6</v>
      </c>
      <c r="C341" t="s">
        <v>64</v>
      </c>
      <c r="D341" t="s">
        <v>60</v>
      </c>
      <c r="E341" t="s">
        <v>61</v>
      </c>
      <c r="F341" s="14">
        <v>29083738</v>
      </c>
      <c r="G341" s="14">
        <v>19389140</v>
      </c>
      <c r="H341">
        <f t="shared" si="10"/>
        <v>0</v>
      </c>
      <c r="I341" s="20">
        <f t="shared" si="11"/>
        <v>43617</v>
      </c>
    </row>
    <row r="342" spans="1:9" x14ac:dyDescent="0.2">
      <c r="A342">
        <v>2019</v>
      </c>
      <c r="B342">
        <v>6</v>
      </c>
      <c r="C342" t="s">
        <v>55</v>
      </c>
      <c r="D342" t="s">
        <v>60</v>
      </c>
      <c r="E342" t="s">
        <v>65</v>
      </c>
      <c r="F342" s="14">
        <v>357247</v>
      </c>
      <c r="G342" s="14">
        <v>223279</v>
      </c>
      <c r="H342">
        <f t="shared" si="10"/>
        <v>1</v>
      </c>
      <c r="I342" s="20">
        <f t="shared" si="11"/>
        <v>43617</v>
      </c>
    </row>
    <row r="343" spans="1:9" x14ac:dyDescent="0.2">
      <c r="A343">
        <v>2019</v>
      </c>
      <c r="B343">
        <v>6</v>
      </c>
      <c r="C343" t="s">
        <v>64</v>
      </c>
      <c r="D343" t="s">
        <v>66</v>
      </c>
      <c r="E343" t="s">
        <v>68</v>
      </c>
      <c r="F343" s="14">
        <v>24556742</v>
      </c>
      <c r="G343" s="14">
        <v>24556742</v>
      </c>
      <c r="H343">
        <f t="shared" si="10"/>
        <v>0</v>
      </c>
      <c r="I343" s="20">
        <f t="shared" si="11"/>
        <v>43617</v>
      </c>
    </row>
    <row r="344" spans="1:9" x14ac:dyDescent="0.2">
      <c r="A344">
        <v>2019</v>
      </c>
      <c r="B344">
        <v>6</v>
      </c>
      <c r="C344" t="s">
        <v>55</v>
      </c>
      <c r="D344" t="s">
        <v>66</v>
      </c>
      <c r="E344" t="s">
        <v>63</v>
      </c>
      <c r="F344" s="14">
        <v>4208159</v>
      </c>
      <c r="G344" s="14">
        <v>2475387</v>
      </c>
      <c r="H344">
        <f t="shared" si="10"/>
        <v>0</v>
      </c>
      <c r="I344" s="20">
        <f t="shared" si="11"/>
        <v>43617</v>
      </c>
    </row>
    <row r="345" spans="1:9" x14ac:dyDescent="0.2">
      <c r="A345">
        <v>2019</v>
      </c>
      <c r="B345">
        <v>6</v>
      </c>
      <c r="C345" t="s">
        <v>55</v>
      </c>
      <c r="D345" t="s">
        <v>66</v>
      </c>
      <c r="E345" t="s">
        <v>67</v>
      </c>
      <c r="F345" s="14">
        <v>2613944</v>
      </c>
      <c r="G345" s="14">
        <v>1742628</v>
      </c>
      <c r="H345">
        <f t="shared" si="10"/>
        <v>0</v>
      </c>
      <c r="I345" s="20">
        <f t="shared" si="11"/>
        <v>43617</v>
      </c>
    </row>
    <row r="346" spans="1:9" x14ac:dyDescent="0.2">
      <c r="A346">
        <v>2019</v>
      </c>
      <c r="B346">
        <v>6</v>
      </c>
      <c r="C346" t="s">
        <v>55</v>
      </c>
      <c r="D346" t="s">
        <v>66</v>
      </c>
      <c r="E346" t="s">
        <v>68</v>
      </c>
      <c r="F346" s="14">
        <v>1966786</v>
      </c>
      <c r="G346" s="14">
        <v>1966786</v>
      </c>
      <c r="H346">
        <f t="shared" si="10"/>
        <v>0</v>
      </c>
      <c r="I346" s="20">
        <f t="shared" si="11"/>
        <v>43617</v>
      </c>
    </row>
    <row r="347" spans="1:9" x14ac:dyDescent="0.2">
      <c r="A347">
        <v>2019</v>
      </c>
      <c r="B347">
        <v>6</v>
      </c>
      <c r="C347" t="s">
        <v>55</v>
      </c>
      <c r="D347" t="s">
        <v>66</v>
      </c>
      <c r="E347" t="s">
        <v>69</v>
      </c>
      <c r="F347" s="14">
        <v>91649</v>
      </c>
      <c r="G347" s="14">
        <v>57282</v>
      </c>
      <c r="H347">
        <f t="shared" si="10"/>
        <v>0</v>
      </c>
      <c r="I347" s="20">
        <f t="shared" si="11"/>
        <v>43617</v>
      </c>
    </row>
    <row r="348" spans="1:9" x14ac:dyDescent="0.2">
      <c r="A348">
        <v>2019</v>
      </c>
      <c r="B348">
        <v>6</v>
      </c>
      <c r="C348" t="s">
        <v>55</v>
      </c>
      <c r="D348" t="s">
        <v>66</v>
      </c>
      <c r="E348" t="s">
        <v>59</v>
      </c>
      <c r="F348" s="14">
        <v>15538</v>
      </c>
      <c r="G348" s="14">
        <v>15538</v>
      </c>
      <c r="H348">
        <f t="shared" si="10"/>
        <v>0</v>
      </c>
      <c r="I348" s="20">
        <f t="shared" si="11"/>
        <v>43617</v>
      </c>
    </row>
    <row r="349" spans="1:9" x14ac:dyDescent="0.2">
      <c r="A349">
        <v>2019</v>
      </c>
      <c r="B349">
        <v>6</v>
      </c>
      <c r="C349" t="s">
        <v>55</v>
      </c>
      <c r="D349" t="s">
        <v>70</v>
      </c>
      <c r="E349" t="s">
        <v>68</v>
      </c>
      <c r="F349" s="14">
        <v>1233405028</v>
      </c>
      <c r="G349" s="14">
        <v>1233405028</v>
      </c>
      <c r="H349">
        <f t="shared" si="10"/>
        <v>0</v>
      </c>
      <c r="I349" s="20">
        <f t="shared" si="11"/>
        <v>43617</v>
      </c>
    </row>
    <row r="350" spans="1:9" x14ac:dyDescent="0.2">
      <c r="A350">
        <v>2019</v>
      </c>
      <c r="B350">
        <v>6</v>
      </c>
      <c r="C350" t="s">
        <v>62</v>
      </c>
      <c r="D350" t="s">
        <v>70</v>
      </c>
      <c r="E350" t="s">
        <v>63</v>
      </c>
      <c r="F350" s="14">
        <v>11972436</v>
      </c>
      <c r="G350" s="14">
        <v>7042609</v>
      </c>
      <c r="H350">
        <f t="shared" si="10"/>
        <v>0</v>
      </c>
      <c r="I350" s="20">
        <f t="shared" si="11"/>
        <v>43617</v>
      </c>
    </row>
    <row r="351" spans="1:9" x14ac:dyDescent="0.2">
      <c r="A351">
        <v>2019</v>
      </c>
      <c r="B351">
        <v>6</v>
      </c>
      <c r="C351" t="s">
        <v>64</v>
      </c>
      <c r="D351" t="s">
        <v>70</v>
      </c>
      <c r="E351" t="s">
        <v>68</v>
      </c>
      <c r="F351" s="14">
        <v>1188063</v>
      </c>
      <c r="G351" s="14">
        <v>1188063</v>
      </c>
      <c r="H351">
        <f t="shared" si="10"/>
        <v>0</v>
      </c>
      <c r="I351" s="20">
        <f t="shared" si="11"/>
        <v>43617</v>
      </c>
    </row>
    <row r="352" spans="1:9" x14ac:dyDescent="0.2">
      <c r="A352">
        <v>2019</v>
      </c>
      <c r="B352">
        <v>6</v>
      </c>
      <c r="C352" t="s">
        <v>64</v>
      </c>
      <c r="D352" t="s">
        <v>71</v>
      </c>
      <c r="E352" t="s">
        <v>72</v>
      </c>
      <c r="F352" s="14">
        <v>107473</v>
      </c>
      <c r="G352" s="14">
        <v>107473</v>
      </c>
      <c r="H352">
        <f t="shared" si="10"/>
        <v>0</v>
      </c>
      <c r="I352" s="20">
        <f t="shared" si="11"/>
        <v>43617</v>
      </c>
    </row>
    <row r="353" spans="1:9" x14ac:dyDescent="0.2">
      <c r="A353">
        <v>2019</v>
      </c>
      <c r="B353">
        <v>7</v>
      </c>
      <c r="C353" t="s">
        <v>55</v>
      </c>
      <c r="D353" t="s">
        <v>56</v>
      </c>
      <c r="E353" t="s">
        <v>59</v>
      </c>
      <c r="F353" s="14">
        <v>29654577</v>
      </c>
      <c r="G353" s="14">
        <v>29654577</v>
      </c>
      <c r="H353">
        <f t="shared" si="10"/>
        <v>0</v>
      </c>
      <c r="I353" s="20">
        <f t="shared" si="11"/>
        <v>43647</v>
      </c>
    </row>
    <row r="354" spans="1:9" x14ac:dyDescent="0.2">
      <c r="A354">
        <v>2019</v>
      </c>
      <c r="B354">
        <v>7</v>
      </c>
      <c r="C354" t="s">
        <v>55</v>
      </c>
      <c r="D354" t="s">
        <v>56</v>
      </c>
      <c r="E354" t="s">
        <v>58</v>
      </c>
      <c r="F354" s="14">
        <v>5094847</v>
      </c>
      <c r="G354" s="14">
        <v>5094847</v>
      </c>
      <c r="H354">
        <f t="shared" si="10"/>
        <v>0</v>
      </c>
      <c r="I354" s="20">
        <f t="shared" si="11"/>
        <v>43647</v>
      </c>
    </row>
    <row r="355" spans="1:9" x14ac:dyDescent="0.2">
      <c r="A355">
        <v>2019</v>
      </c>
      <c r="B355">
        <v>7</v>
      </c>
      <c r="C355" t="s">
        <v>64</v>
      </c>
      <c r="D355" t="s">
        <v>56</v>
      </c>
      <c r="E355" t="s">
        <v>58</v>
      </c>
      <c r="F355" s="14">
        <v>2496596</v>
      </c>
      <c r="G355" s="14">
        <v>2496596</v>
      </c>
      <c r="H355">
        <f t="shared" si="10"/>
        <v>0</v>
      </c>
      <c r="I355" s="20">
        <f t="shared" si="11"/>
        <v>43647</v>
      </c>
    </row>
    <row r="356" spans="1:9" x14ac:dyDescent="0.2">
      <c r="A356">
        <v>2019</v>
      </c>
      <c r="B356">
        <v>7</v>
      </c>
      <c r="C356" t="s">
        <v>55</v>
      </c>
      <c r="D356" t="s">
        <v>56</v>
      </c>
      <c r="E356" t="s">
        <v>57</v>
      </c>
      <c r="F356" s="14">
        <v>1156038</v>
      </c>
      <c r="G356" s="14">
        <v>1156038</v>
      </c>
      <c r="H356">
        <f t="shared" si="10"/>
        <v>0</v>
      </c>
      <c r="I356" s="20">
        <f t="shared" si="11"/>
        <v>43647</v>
      </c>
    </row>
    <row r="357" spans="1:9" x14ac:dyDescent="0.2">
      <c r="A357">
        <v>2019</v>
      </c>
      <c r="B357">
        <v>7</v>
      </c>
      <c r="C357" t="s">
        <v>64</v>
      </c>
      <c r="D357" t="s">
        <v>56</v>
      </c>
      <c r="E357" t="s">
        <v>59</v>
      </c>
      <c r="F357" s="14">
        <v>517419</v>
      </c>
      <c r="G357" s="14">
        <v>517419</v>
      </c>
      <c r="H357">
        <f t="shared" si="10"/>
        <v>0</v>
      </c>
      <c r="I357" s="20">
        <f t="shared" si="11"/>
        <v>43647</v>
      </c>
    </row>
    <row r="358" spans="1:9" x14ac:dyDescent="0.2">
      <c r="A358">
        <v>2019</v>
      </c>
      <c r="B358">
        <v>7</v>
      </c>
      <c r="C358" t="s">
        <v>55</v>
      </c>
      <c r="D358" t="s">
        <v>60</v>
      </c>
      <c r="E358" t="s">
        <v>61</v>
      </c>
      <c r="F358" s="14">
        <v>254182537</v>
      </c>
      <c r="G358" s="14">
        <v>169452631</v>
      </c>
      <c r="H358">
        <f t="shared" si="10"/>
        <v>0</v>
      </c>
      <c r="I358" s="20">
        <f t="shared" si="11"/>
        <v>43647</v>
      </c>
    </row>
    <row r="359" spans="1:9" x14ac:dyDescent="0.2">
      <c r="A359">
        <v>2019</v>
      </c>
      <c r="B359">
        <v>7</v>
      </c>
      <c r="C359" t="s">
        <v>55</v>
      </c>
      <c r="D359" t="s">
        <v>60</v>
      </c>
      <c r="E359" t="s">
        <v>63</v>
      </c>
      <c r="F359" s="14">
        <v>73404754</v>
      </c>
      <c r="G359" s="14">
        <v>43179249</v>
      </c>
      <c r="H359">
        <f t="shared" si="10"/>
        <v>0</v>
      </c>
      <c r="I359" s="20">
        <f t="shared" si="11"/>
        <v>43647</v>
      </c>
    </row>
    <row r="360" spans="1:9" x14ac:dyDescent="0.2">
      <c r="A360">
        <v>2019</v>
      </c>
      <c r="B360">
        <v>7</v>
      </c>
      <c r="C360" t="s">
        <v>62</v>
      </c>
      <c r="D360" t="s">
        <v>60</v>
      </c>
      <c r="E360" t="s">
        <v>63</v>
      </c>
      <c r="F360" s="14">
        <v>48251933</v>
      </c>
      <c r="G360" s="14">
        <v>28383489</v>
      </c>
      <c r="H360">
        <f t="shared" si="10"/>
        <v>0</v>
      </c>
      <c r="I360" s="20">
        <f t="shared" si="11"/>
        <v>43647</v>
      </c>
    </row>
    <row r="361" spans="1:9" x14ac:dyDescent="0.2">
      <c r="A361">
        <v>2019</v>
      </c>
      <c r="B361">
        <v>7</v>
      </c>
      <c r="C361" t="s">
        <v>64</v>
      </c>
      <c r="D361" t="s">
        <v>60</v>
      </c>
      <c r="E361" t="s">
        <v>61</v>
      </c>
      <c r="F361" s="14">
        <v>24489664</v>
      </c>
      <c r="G361" s="14">
        <v>16326425</v>
      </c>
      <c r="H361">
        <f t="shared" si="10"/>
        <v>0</v>
      </c>
      <c r="I361" s="20">
        <f t="shared" si="11"/>
        <v>43647</v>
      </c>
    </row>
    <row r="362" spans="1:9" x14ac:dyDescent="0.2">
      <c r="A362">
        <v>2019</v>
      </c>
      <c r="B362">
        <v>7</v>
      </c>
      <c r="C362" t="s">
        <v>55</v>
      </c>
      <c r="D362" t="s">
        <v>60</v>
      </c>
      <c r="E362" t="s">
        <v>65</v>
      </c>
      <c r="F362" s="14">
        <v>234581</v>
      </c>
      <c r="G362" s="14">
        <v>146613</v>
      </c>
      <c r="H362">
        <f t="shared" si="10"/>
        <v>1</v>
      </c>
      <c r="I362" s="20">
        <f t="shared" si="11"/>
        <v>43647</v>
      </c>
    </row>
    <row r="363" spans="1:9" x14ac:dyDescent="0.2">
      <c r="A363">
        <v>2019</v>
      </c>
      <c r="B363">
        <v>7</v>
      </c>
      <c r="C363" t="s">
        <v>64</v>
      </c>
      <c r="D363" t="s">
        <v>66</v>
      </c>
      <c r="E363" t="s">
        <v>68</v>
      </c>
      <c r="F363" s="14">
        <v>23287643</v>
      </c>
      <c r="G363" s="14">
        <v>23287643</v>
      </c>
      <c r="H363">
        <f t="shared" si="10"/>
        <v>0</v>
      </c>
      <c r="I363" s="20">
        <f t="shared" si="11"/>
        <v>43647</v>
      </c>
    </row>
    <row r="364" spans="1:9" x14ac:dyDescent="0.2">
      <c r="A364">
        <v>2019</v>
      </c>
      <c r="B364">
        <v>7</v>
      </c>
      <c r="C364" t="s">
        <v>55</v>
      </c>
      <c r="D364" t="s">
        <v>66</v>
      </c>
      <c r="E364" t="s">
        <v>63</v>
      </c>
      <c r="F364" s="14">
        <v>5275161</v>
      </c>
      <c r="G364" s="14">
        <v>3103036</v>
      </c>
      <c r="H364">
        <f t="shared" si="10"/>
        <v>0</v>
      </c>
      <c r="I364" s="20">
        <f t="shared" si="11"/>
        <v>43647</v>
      </c>
    </row>
    <row r="365" spans="1:9" x14ac:dyDescent="0.2">
      <c r="A365">
        <v>2019</v>
      </c>
      <c r="B365">
        <v>7</v>
      </c>
      <c r="C365" t="s">
        <v>55</v>
      </c>
      <c r="D365" t="s">
        <v>66</v>
      </c>
      <c r="E365" t="s">
        <v>67</v>
      </c>
      <c r="F365" s="14">
        <v>2536787</v>
      </c>
      <c r="G365" s="14">
        <v>1691191</v>
      </c>
      <c r="H365">
        <f t="shared" si="10"/>
        <v>0</v>
      </c>
      <c r="I365" s="20">
        <f t="shared" si="11"/>
        <v>43647</v>
      </c>
    </row>
    <row r="366" spans="1:9" x14ac:dyDescent="0.2">
      <c r="A366">
        <v>2019</v>
      </c>
      <c r="B366">
        <v>7</v>
      </c>
      <c r="C366" t="s">
        <v>55</v>
      </c>
      <c r="D366" t="s">
        <v>66</v>
      </c>
      <c r="E366" t="s">
        <v>68</v>
      </c>
      <c r="F366" s="14">
        <v>2095521</v>
      </c>
      <c r="G366" s="14">
        <v>2095521</v>
      </c>
      <c r="H366">
        <f t="shared" si="10"/>
        <v>0</v>
      </c>
      <c r="I366" s="20">
        <f t="shared" si="11"/>
        <v>43647</v>
      </c>
    </row>
    <row r="367" spans="1:9" x14ac:dyDescent="0.2">
      <c r="A367">
        <v>2019</v>
      </c>
      <c r="B367">
        <v>7</v>
      </c>
      <c r="C367" t="s">
        <v>55</v>
      </c>
      <c r="D367" t="s">
        <v>66</v>
      </c>
      <c r="E367" t="s">
        <v>74</v>
      </c>
      <c r="F367" s="14">
        <v>325871</v>
      </c>
      <c r="G367" s="14">
        <v>296246</v>
      </c>
      <c r="H367">
        <f t="shared" si="10"/>
        <v>0</v>
      </c>
      <c r="I367" s="20">
        <f t="shared" si="11"/>
        <v>43647</v>
      </c>
    </row>
    <row r="368" spans="1:9" x14ac:dyDescent="0.2">
      <c r="A368">
        <v>2019</v>
      </c>
      <c r="B368">
        <v>7</v>
      </c>
      <c r="C368" t="s">
        <v>55</v>
      </c>
      <c r="D368" t="s">
        <v>66</v>
      </c>
      <c r="E368" t="s">
        <v>75</v>
      </c>
      <c r="F368" s="14">
        <v>321647</v>
      </c>
      <c r="G368" s="14">
        <v>229748</v>
      </c>
      <c r="H368">
        <f t="shared" si="10"/>
        <v>0</v>
      </c>
      <c r="I368" s="20">
        <f t="shared" si="11"/>
        <v>43647</v>
      </c>
    </row>
    <row r="369" spans="1:9" x14ac:dyDescent="0.2">
      <c r="A369">
        <v>2019</v>
      </c>
      <c r="B369">
        <v>7</v>
      </c>
      <c r="C369" t="s">
        <v>55</v>
      </c>
      <c r="D369" t="s">
        <v>66</v>
      </c>
      <c r="E369" t="s">
        <v>69</v>
      </c>
      <c r="F369" s="14">
        <v>127335</v>
      </c>
      <c r="G369" s="14">
        <v>79585</v>
      </c>
      <c r="H369">
        <f t="shared" si="10"/>
        <v>0</v>
      </c>
      <c r="I369" s="20">
        <f t="shared" si="11"/>
        <v>43647</v>
      </c>
    </row>
    <row r="370" spans="1:9" x14ac:dyDescent="0.2">
      <c r="A370">
        <v>2019</v>
      </c>
      <c r="B370">
        <v>7</v>
      </c>
      <c r="C370" t="s">
        <v>55</v>
      </c>
      <c r="D370" t="s">
        <v>66</v>
      </c>
      <c r="E370" t="s">
        <v>59</v>
      </c>
      <c r="F370" s="14">
        <v>6532</v>
      </c>
      <c r="G370" s="14">
        <v>6532</v>
      </c>
      <c r="H370">
        <f t="shared" si="10"/>
        <v>0</v>
      </c>
      <c r="I370" s="20">
        <f t="shared" si="11"/>
        <v>43647</v>
      </c>
    </row>
    <row r="371" spans="1:9" x14ac:dyDescent="0.2">
      <c r="A371">
        <v>2019</v>
      </c>
      <c r="B371">
        <v>7</v>
      </c>
      <c r="C371" t="s">
        <v>55</v>
      </c>
      <c r="D371" t="s">
        <v>70</v>
      </c>
      <c r="E371" t="s">
        <v>68</v>
      </c>
      <c r="F371" s="14">
        <v>1312351700</v>
      </c>
      <c r="G371" s="14">
        <v>1312351700</v>
      </c>
      <c r="H371">
        <f t="shared" si="10"/>
        <v>0</v>
      </c>
      <c r="I371" s="20">
        <f t="shared" si="11"/>
        <v>43647</v>
      </c>
    </row>
    <row r="372" spans="1:9" x14ac:dyDescent="0.2">
      <c r="A372">
        <v>2019</v>
      </c>
      <c r="B372">
        <v>7</v>
      </c>
      <c r="C372" t="s">
        <v>62</v>
      </c>
      <c r="D372" t="s">
        <v>70</v>
      </c>
      <c r="E372" t="s">
        <v>63</v>
      </c>
      <c r="F372" s="14">
        <v>14467327</v>
      </c>
      <c r="G372" s="14">
        <v>8510192</v>
      </c>
      <c r="H372">
        <f t="shared" si="10"/>
        <v>0</v>
      </c>
      <c r="I372" s="20">
        <f t="shared" si="11"/>
        <v>43647</v>
      </c>
    </row>
    <row r="373" spans="1:9" x14ac:dyDescent="0.2">
      <c r="A373">
        <v>2019</v>
      </c>
      <c r="B373">
        <v>7</v>
      </c>
      <c r="C373" t="s">
        <v>64</v>
      </c>
      <c r="D373" t="s">
        <v>70</v>
      </c>
      <c r="E373" t="s">
        <v>68</v>
      </c>
      <c r="F373" s="14">
        <v>1396026</v>
      </c>
      <c r="G373" s="14">
        <v>1396026</v>
      </c>
      <c r="H373">
        <f t="shared" si="10"/>
        <v>0</v>
      </c>
      <c r="I373" s="20">
        <f t="shared" si="11"/>
        <v>43647</v>
      </c>
    </row>
    <row r="374" spans="1:9" x14ac:dyDescent="0.2">
      <c r="A374">
        <v>2019</v>
      </c>
      <c r="B374">
        <v>8</v>
      </c>
      <c r="C374" t="s">
        <v>55</v>
      </c>
      <c r="D374" t="s">
        <v>56</v>
      </c>
      <c r="E374" t="s">
        <v>59</v>
      </c>
      <c r="F374" s="14">
        <v>29811852</v>
      </c>
      <c r="G374" s="14">
        <v>29811852</v>
      </c>
      <c r="H374">
        <f t="shared" si="10"/>
        <v>0</v>
      </c>
      <c r="I374" s="20">
        <f t="shared" si="11"/>
        <v>43678</v>
      </c>
    </row>
    <row r="375" spans="1:9" x14ac:dyDescent="0.2">
      <c r="A375">
        <v>2019</v>
      </c>
      <c r="B375">
        <v>8</v>
      </c>
      <c r="C375" t="s">
        <v>55</v>
      </c>
      <c r="D375" t="s">
        <v>56</v>
      </c>
      <c r="E375" t="s">
        <v>58</v>
      </c>
      <c r="F375" s="14">
        <v>4489615</v>
      </c>
      <c r="G375" s="14">
        <v>4489615</v>
      </c>
      <c r="H375">
        <f t="shared" si="10"/>
        <v>0</v>
      </c>
      <c r="I375" s="20">
        <f t="shared" si="11"/>
        <v>43678</v>
      </c>
    </row>
    <row r="376" spans="1:9" x14ac:dyDescent="0.2">
      <c r="A376">
        <v>2019</v>
      </c>
      <c r="B376">
        <v>8</v>
      </c>
      <c r="C376" t="s">
        <v>64</v>
      </c>
      <c r="D376" t="s">
        <v>56</v>
      </c>
      <c r="E376" t="s">
        <v>58</v>
      </c>
      <c r="F376" s="14">
        <v>2044099</v>
      </c>
      <c r="G376" s="14">
        <v>2044099</v>
      </c>
      <c r="H376">
        <f t="shared" si="10"/>
        <v>0</v>
      </c>
      <c r="I376" s="20">
        <f t="shared" si="11"/>
        <v>43678</v>
      </c>
    </row>
    <row r="377" spans="1:9" x14ac:dyDescent="0.2">
      <c r="A377">
        <v>2019</v>
      </c>
      <c r="B377">
        <v>8</v>
      </c>
      <c r="C377" t="s">
        <v>64</v>
      </c>
      <c r="D377" t="s">
        <v>56</v>
      </c>
      <c r="E377" t="s">
        <v>59</v>
      </c>
      <c r="F377" s="14">
        <v>836272</v>
      </c>
      <c r="G377" s="14">
        <v>836272</v>
      </c>
      <c r="H377">
        <f t="shared" si="10"/>
        <v>0</v>
      </c>
      <c r="I377" s="20">
        <f t="shared" si="11"/>
        <v>43678</v>
      </c>
    </row>
    <row r="378" spans="1:9" x14ac:dyDescent="0.2">
      <c r="A378">
        <v>2019</v>
      </c>
      <c r="B378">
        <v>8</v>
      </c>
      <c r="C378" t="s">
        <v>55</v>
      </c>
      <c r="D378" t="s">
        <v>56</v>
      </c>
      <c r="E378" t="s">
        <v>57</v>
      </c>
      <c r="F378" s="14">
        <v>273241</v>
      </c>
      <c r="G378" s="14">
        <v>273241</v>
      </c>
      <c r="H378">
        <f t="shared" si="10"/>
        <v>0</v>
      </c>
      <c r="I378" s="20">
        <f t="shared" si="11"/>
        <v>43678</v>
      </c>
    </row>
    <row r="379" spans="1:9" x14ac:dyDescent="0.2">
      <c r="A379">
        <v>2019</v>
      </c>
      <c r="B379">
        <v>8</v>
      </c>
      <c r="C379" t="s">
        <v>55</v>
      </c>
      <c r="D379" t="s">
        <v>60</v>
      </c>
      <c r="E379" t="s">
        <v>61</v>
      </c>
      <c r="F379" s="14">
        <v>230401252</v>
      </c>
      <c r="G379" s="14">
        <v>153598697</v>
      </c>
      <c r="H379">
        <f t="shared" si="10"/>
        <v>0</v>
      </c>
      <c r="I379" s="20">
        <f t="shared" si="11"/>
        <v>43678</v>
      </c>
    </row>
    <row r="380" spans="1:9" x14ac:dyDescent="0.2">
      <c r="A380">
        <v>2019</v>
      </c>
      <c r="B380">
        <v>8</v>
      </c>
      <c r="C380" t="s">
        <v>55</v>
      </c>
      <c r="D380" t="s">
        <v>60</v>
      </c>
      <c r="E380" t="s">
        <v>63</v>
      </c>
      <c r="F380" s="14">
        <v>45164534</v>
      </c>
      <c r="G380" s="14">
        <v>26567329</v>
      </c>
      <c r="H380">
        <f t="shared" si="10"/>
        <v>0</v>
      </c>
      <c r="I380" s="20">
        <f t="shared" si="11"/>
        <v>43678</v>
      </c>
    </row>
    <row r="381" spans="1:9" x14ac:dyDescent="0.2">
      <c r="A381">
        <v>2019</v>
      </c>
      <c r="B381">
        <v>8</v>
      </c>
      <c r="C381" t="s">
        <v>62</v>
      </c>
      <c r="D381" t="s">
        <v>60</v>
      </c>
      <c r="E381" t="s">
        <v>63</v>
      </c>
      <c r="F381" s="14">
        <v>38821741</v>
      </c>
      <c r="G381" s="14">
        <v>22836318</v>
      </c>
      <c r="H381">
        <f t="shared" si="10"/>
        <v>0</v>
      </c>
      <c r="I381" s="20">
        <f t="shared" si="11"/>
        <v>43678</v>
      </c>
    </row>
    <row r="382" spans="1:9" x14ac:dyDescent="0.2">
      <c r="A382">
        <v>2019</v>
      </c>
      <c r="B382">
        <v>8</v>
      </c>
      <c r="C382" t="s">
        <v>64</v>
      </c>
      <c r="D382" t="s">
        <v>60</v>
      </c>
      <c r="E382" t="s">
        <v>61</v>
      </c>
      <c r="F382" s="14">
        <v>13233270</v>
      </c>
      <c r="G382" s="14">
        <v>8822166</v>
      </c>
      <c r="H382">
        <f t="shared" si="10"/>
        <v>0</v>
      </c>
      <c r="I382" s="20">
        <f t="shared" si="11"/>
        <v>43678</v>
      </c>
    </row>
    <row r="383" spans="1:9" x14ac:dyDescent="0.2">
      <c r="A383">
        <v>2019</v>
      </c>
      <c r="B383">
        <v>8</v>
      </c>
      <c r="C383" t="s">
        <v>62</v>
      </c>
      <c r="D383" t="s">
        <v>60</v>
      </c>
      <c r="E383" t="s">
        <v>76</v>
      </c>
      <c r="F383" s="14">
        <v>3800968</v>
      </c>
      <c r="G383" s="14">
        <v>2375605</v>
      </c>
      <c r="H383">
        <f t="shared" si="10"/>
        <v>0</v>
      </c>
      <c r="I383" s="20">
        <f t="shared" si="11"/>
        <v>43678</v>
      </c>
    </row>
    <row r="384" spans="1:9" x14ac:dyDescent="0.2">
      <c r="A384">
        <v>2019</v>
      </c>
      <c r="B384">
        <v>8</v>
      </c>
      <c r="C384" t="s">
        <v>55</v>
      </c>
      <c r="D384" t="s">
        <v>60</v>
      </c>
      <c r="E384" t="s">
        <v>65</v>
      </c>
      <c r="F384" s="14">
        <v>434812</v>
      </c>
      <c r="G384" s="14">
        <v>271757</v>
      </c>
      <c r="H384">
        <f t="shared" si="10"/>
        <v>1</v>
      </c>
      <c r="I384" s="20">
        <f t="shared" si="11"/>
        <v>43678</v>
      </c>
    </row>
    <row r="385" spans="1:9" x14ac:dyDescent="0.2">
      <c r="A385">
        <v>2019</v>
      </c>
      <c r="B385">
        <v>8</v>
      </c>
      <c r="C385" t="s">
        <v>64</v>
      </c>
      <c r="D385" t="s">
        <v>66</v>
      </c>
      <c r="E385" t="s">
        <v>68</v>
      </c>
      <c r="F385" s="14">
        <v>13950027</v>
      </c>
      <c r="G385" s="14">
        <v>13950027</v>
      </c>
      <c r="H385">
        <f t="shared" si="10"/>
        <v>0</v>
      </c>
      <c r="I385" s="20">
        <f t="shared" si="11"/>
        <v>43678</v>
      </c>
    </row>
    <row r="386" spans="1:9" x14ac:dyDescent="0.2">
      <c r="A386">
        <v>2019</v>
      </c>
      <c r="B386">
        <v>8</v>
      </c>
      <c r="C386" t="s">
        <v>55</v>
      </c>
      <c r="D386" t="s">
        <v>66</v>
      </c>
      <c r="E386" t="s">
        <v>63</v>
      </c>
      <c r="F386" s="14">
        <v>6142589</v>
      </c>
      <c r="G386" s="14">
        <v>3613287</v>
      </c>
      <c r="H386">
        <f t="shared" si="10"/>
        <v>0</v>
      </c>
      <c r="I386" s="20">
        <f t="shared" si="11"/>
        <v>43678</v>
      </c>
    </row>
    <row r="387" spans="1:9" x14ac:dyDescent="0.2">
      <c r="A387">
        <v>2019</v>
      </c>
      <c r="B387">
        <v>8</v>
      </c>
      <c r="C387" t="s">
        <v>55</v>
      </c>
      <c r="D387" t="s">
        <v>66</v>
      </c>
      <c r="E387" t="s">
        <v>68</v>
      </c>
      <c r="F387" s="14">
        <v>1995104</v>
      </c>
      <c r="G387" s="14">
        <v>1995104</v>
      </c>
      <c r="H387">
        <f t="shared" ref="H387:H450" si="12">--ISNUMBER(SEARCH("Jet Fuel",E387))</f>
        <v>0</v>
      </c>
      <c r="I387" s="20">
        <f t="shared" ref="I387:I450" si="13">DATE(A387,B387,1)</f>
        <v>43678</v>
      </c>
    </row>
    <row r="388" spans="1:9" x14ac:dyDescent="0.2">
      <c r="A388">
        <v>2019</v>
      </c>
      <c r="B388">
        <v>8</v>
      </c>
      <c r="C388" t="s">
        <v>55</v>
      </c>
      <c r="D388" t="s">
        <v>66</v>
      </c>
      <c r="E388" t="s">
        <v>67</v>
      </c>
      <c r="F388" s="14">
        <v>772561</v>
      </c>
      <c r="G388" s="14">
        <v>515040</v>
      </c>
      <c r="H388">
        <f t="shared" si="12"/>
        <v>0</v>
      </c>
      <c r="I388" s="20">
        <f t="shared" si="13"/>
        <v>43678</v>
      </c>
    </row>
    <row r="389" spans="1:9" x14ac:dyDescent="0.2">
      <c r="A389">
        <v>2019</v>
      </c>
      <c r="B389">
        <v>8</v>
      </c>
      <c r="C389" t="s">
        <v>55</v>
      </c>
      <c r="D389" t="s">
        <v>66</v>
      </c>
      <c r="E389" t="s">
        <v>75</v>
      </c>
      <c r="F389" s="14">
        <v>459915</v>
      </c>
      <c r="G389" s="14">
        <v>328511</v>
      </c>
      <c r="H389">
        <f t="shared" si="12"/>
        <v>0</v>
      </c>
      <c r="I389" s="20">
        <f t="shared" si="13"/>
        <v>43678</v>
      </c>
    </row>
    <row r="390" spans="1:9" x14ac:dyDescent="0.2">
      <c r="A390">
        <v>2019</v>
      </c>
      <c r="B390">
        <v>8</v>
      </c>
      <c r="C390" t="s">
        <v>55</v>
      </c>
      <c r="D390" t="s">
        <v>66</v>
      </c>
      <c r="E390" t="s">
        <v>74</v>
      </c>
      <c r="F390" s="14">
        <v>336305</v>
      </c>
      <c r="G390" s="14">
        <v>305732</v>
      </c>
      <c r="H390">
        <f t="shared" si="12"/>
        <v>0</v>
      </c>
      <c r="I390" s="20">
        <f t="shared" si="13"/>
        <v>43678</v>
      </c>
    </row>
    <row r="391" spans="1:9" x14ac:dyDescent="0.2">
      <c r="A391">
        <v>2019</v>
      </c>
      <c r="B391">
        <v>8</v>
      </c>
      <c r="C391" t="s">
        <v>55</v>
      </c>
      <c r="D391" t="s">
        <v>66</v>
      </c>
      <c r="E391" t="s">
        <v>69</v>
      </c>
      <c r="F391" s="14">
        <v>35528</v>
      </c>
      <c r="G391" s="14">
        <v>22205</v>
      </c>
      <c r="H391">
        <f t="shared" si="12"/>
        <v>0</v>
      </c>
      <c r="I391" s="20">
        <f t="shared" si="13"/>
        <v>43678</v>
      </c>
    </row>
    <row r="392" spans="1:9" x14ac:dyDescent="0.2">
      <c r="A392">
        <v>2019</v>
      </c>
      <c r="B392">
        <v>8</v>
      </c>
      <c r="C392" t="s">
        <v>55</v>
      </c>
      <c r="D392" t="s">
        <v>66</v>
      </c>
      <c r="E392" t="s">
        <v>59</v>
      </c>
      <c r="F392" s="14">
        <v>2721</v>
      </c>
      <c r="G392" s="14">
        <v>2721</v>
      </c>
      <c r="H392">
        <f t="shared" si="12"/>
        <v>0</v>
      </c>
      <c r="I392" s="20">
        <f t="shared" si="13"/>
        <v>43678</v>
      </c>
    </row>
    <row r="393" spans="1:9" x14ac:dyDescent="0.2">
      <c r="A393">
        <v>2019</v>
      </c>
      <c r="B393">
        <v>8</v>
      </c>
      <c r="C393" t="s">
        <v>55</v>
      </c>
      <c r="D393" t="s">
        <v>70</v>
      </c>
      <c r="E393" t="s">
        <v>68</v>
      </c>
      <c r="F393" s="14">
        <v>1243671089</v>
      </c>
      <c r="G393" s="14">
        <v>1243671089</v>
      </c>
      <c r="H393">
        <f t="shared" si="12"/>
        <v>0</v>
      </c>
      <c r="I393" s="20">
        <f t="shared" si="13"/>
        <v>43678</v>
      </c>
    </row>
    <row r="394" spans="1:9" x14ac:dyDescent="0.2">
      <c r="A394">
        <v>2019</v>
      </c>
      <c r="B394">
        <v>8</v>
      </c>
      <c r="C394" t="s">
        <v>62</v>
      </c>
      <c r="D394" t="s">
        <v>70</v>
      </c>
      <c r="E394" t="s">
        <v>63</v>
      </c>
      <c r="F394" s="14">
        <v>11907318</v>
      </c>
      <c r="G394" s="14">
        <v>7004305</v>
      </c>
      <c r="H394">
        <f t="shared" si="12"/>
        <v>0</v>
      </c>
      <c r="I394" s="20">
        <f t="shared" si="13"/>
        <v>43678</v>
      </c>
    </row>
    <row r="395" spans="1:9" x14ac:dyDescent="0.2">
      <c r="A395">
        <v>2019</v>
      </c>
      <c r="B395">
        <v>8</v>
      </c>
      <c r="C395" t="s">
        <v>64</v>
      </c>
      <c r="D395" t="s">
        <v>70</v>
      </c>
      <c r="E395" t="s">
        <v>68</v>
      </c>
      <c r="F395" s="14">
        <v>1317554</v>
      </c>
      <c r="G395" s="14">
        <v>1317554</v>
      </c>
      <c r="H395">
        <f t="shared" si="12"/>
        <v>0</v>
      </c>
      <c r="I395" s="20">
        <f t="shared" si="13"/>
        <v>43678</v>
      </c>
    </row>
    <row r="396" spans="1:9" x14ac:dyDescent="0.2">
      <c r="A396">
        <v>2019</v>
      </c>
      <c r="B396">
        <v>8</v>
      </c>
      <c r="C396" t="s">
        <v>64</v>
      </c>
      <c r="D396" t="s">
        <v>71</v>
      </c>
      <c r="E396" t="s">
        <v>72</v>
      </c>
      <c r="F396" s="14">
        <v>39325</v>
      </c>
      <c r="G396" s="14">
        <v>39325</v>
      </c>
      <c r="H396">
        <f t="shared" si="12"/>
        <v>0</v>
      </c>
      <c r="I396" s="20">
        <f t="shared" si="13"/>
        <v>43678</v>
      </c>
    </row>
    <row r="397" spans="1:9" x14ac:dyDescent="0.2">
      <c r="A397">
        <v>2019</v>
      </c>
      <c r="B397">
        <v>9</v>
      </c>
      <c r="C397" t="s">
        <v>55</v>
      </c>
      <c r="D397" t="s">
        <v>56</v>
      </c>
      <c r="E397" t="s">
        <v>59</v>
      </c>
      <c r="F397" s="14">
        <v>27493259</v>
      </c>
      <c r="G397" s="14">
        <v>27493259</v>
      </c>
      <c r="H397">
        <f t="shared" si="12"/>
        <v>0</v>
      </c>
      <c r="I397" s="20">
        <f t="shared" si="13"/>
        <v>43709</v>
      </c>
    </row>
    <row r="398" spans="1:9" x14ac:dyDescent="0.2">
      <c r="A398">
        <v>2019</v>
      </c>
      <c r="B398">
        <v>9</v>
      </c>
      <c r="C398" t="s">
        <v>55</v>
      </c>
      <c r="D398" t="s">
        <v>56</v>
      </c>
      <c r="E398" t="s">
        <v>58</v>
      </c>
      <c r="F398" s="14">
        <v>4141744</v>
      </c>
      <c r="G398" s="14">
        <v>4141744</v>
      </c>
      <c r="H398">
        <f t="shared" si="12"/>
        <v>0</v>
      </c>
      <c r="I398" s="20">
        <f t="shared" si="13"/>
        <v>43709</v>
      </c>
    </row>
    <row r="399" spans="1:9" x14ac:dyDescent="0.2">
      <c r="A399">
        <v>2019</v>
      </c>
      <c r="B399">
        <v>9</v>
      </c>
      <c r="C399" t="s">
        <v>64</v>
      </c>
      <c r="D399" t="s">
        <v>56</v>
      </c>
      <c r="E399" t="s">
        <v>58</v>
      </c>
      <c r="F399" s="14">
        <v>1937756</v>
      </c>
      <c r="G399" s="14">
        <v>1937756</v>
      </c>
      <c r="H399">
        <f t="shared" si="12"/>
        <v>0</v>
      </c>
      <c r="I399" s="20">
        <f t="shared" si="13"/>
        <v>43709</v>
      </c>
    </row>
    <row r="400" spans="1:9" x14ac:dyDescent="0.2">
      <c r="A400">
        <v>2019</v>
      </c>
      <c r="B400">
        <v>9</v>
      </c>
      <c r="C400" t="s">
        <v>64</v>
      </c>
      <c r="D400" t="s">
        <v>56</v>
      </c>
      <c r="E400" t="s">
        <v>59</v>
      </c>
      <c r="F400" s="14">
        <v>1163627</v>
      </c>
      <c r="G400" s="14">
        <v>1163627</v>
      </c>
      <c r="H400">
        <f t="shared" si="12"/>
        <v>0</v>
      </c>
      <c r="I400" s="20">
        <f t="shared" si="13"/>
        <v>43709</v>
      </c>
    </row>
    <row r="401" spans="1:9" x14ac:dyDescent="0.2">
      <c r="A401">
        <v>2019</v>
      </c>
      <c r="B401">
        <v>9</v>
      </c>
      <c r="C401" t="s">
        <v>55</v>
      </c>
      <c r="D401" t="s">
        <v>56</v>
      </c>
      <c r="E401" t="s">
        <v>57</v>
      </c>
      <c r="F401" s="14">
        <v>399988</v>
      </c>
      <c r="G401" s="14">
        <v>399988</v>
      </c>
      <c r="H401">
        <f t="shared" si="12"/>
        <v>0</v>
      </c>
      <c r="I401" s="20">
        <f t="shared" si="13"/>
        <v>43709</v>
      </c>
    </row>
    <row r="402" spans="1:9" x14ac:dyDescent="0.2">
      <c r="A402">
        <v>2019</v>
      </c>
      <c r="B402">
        <v>9</v>
      </c>
      <c r="C402" t="s">
        <v>55</v>
      </c>
      <c r="D402" t="s">
        <v>60</v>
      </c>
      <c r="E402" t="s">
        <v>61</v>
      </c>
      <c r="F402" s="14">
        <v>215492652</v>
      </c>
      <c r="G402" s="14">
        <v>143659811</v>
      </c>
      <c r="H402">
        <f t="shared" si="12"/>
        <v>0</v>
      </c>
      <c r="I402" s="20">
        <f t="shared" si="13"/>
        <v>43709</v>
      </c>
    </row>
    <row r="403" spans="1:9" x14ac:dyDescent="0.2">
      <c r="A403">
        <v>2019</v>
      </c>
      <c r="B403">
        <v>9</v>
      </c>
      <c r="C403" t="s">
        <v>55</v>
      </c>
      <c r="D403" t="s">
        <v>60</v>
      </c>
      <c r="E403" t="s">
        <v>63</v>
      </c>
      <c r="F403" s="14">
        <v>64010424</v>
      </c>
      <c r="G403" s="14">
        <v>37653169</v>
      </c>
      <c r="H403">
        <f t="shared" si="12"/>
        <v>0</v>
      </c>
      <c r="I403" s="20">
        <f t="shared" si="13"/>
        <v>43709</v>
      </c>
    </row>
    <row r="404" spans="1:9" x14ac:dyDescent="0.2">
      <c r="A404">
        <v>2019</v>
      </c>
      <c r="B404">
        <v>9</v>
      </c>
      <c r="C404" t="s">
        <v>62</v>
      </c>
      <c r="D404" t="s">
        <v>60</v>
      </c>
      <c r="E404" t="s">
        <v>63</v>
      </c>
      <c r="F404" s="14">
        <v>39258951</v>
      </c>
      <c r="G404" s="14">
        <v>23093500</v>
      </c>
      <c r="H404">
        <f t="shared" si="12"/>
        <v>0</v>
      </c>
      <c r="I404" s="20">
        <f t="shared" si="13"/>
        <v>43709</v>
      </c>
    </row>
    <row r="405" spans="1:9" x14ac:dyDescent="0.2">
      <c r="A405">
        <v>2019</v>
      </c>
      <c r="B405">
        <v>9</v>
      </c>
      <c r="C405" t="s">
        <v>64</v>
      </c>
      <c r="D405" t="s">
        <v>60</v>
      </c>
      <c r="E405" t="s">
        <v>61</v>
      </c>
      <c r="F405" s="14">
        <v>22288564</v>
      </c>
      <c r="G405" s="14">
        <v>14859020</v>
      </c>
      <c r="H405">
        <f t="shared" si="12"/>
        <v>0</v>
      </c>
      <c r="I405" s="20">
        <f t="shared" si="13"/>
        <v>43709</v>
      </c>
    </row>
    <row r="406" spans="1:9" x14ac:dyDescent="0.2">
      <c r="A406">
        <v>2019</v>
      </c>
      <c r="B406">
        <v>9</v>
      </c>
      <c r="C406" t="s">
        <v>55</v>
      </c>
      <c r="D406" t="s">
        <v>60</v>
      </c>
      <c r="E406" t="s">
        <v>65</v>
      </c>
      <c r="F406" s="14">
        <v>440847</v>
      </c>
      <c r="G406" s="14">
        <v>275529</v>
      </c>
      <c r="H406">
        <f t="shared" si="12"/>
        <v>1</v>
      </c>
      <c r="I406" s="20">
        <f t="shared" si="13"/>
        <v>43709</v>
      </c>
    </row>
    <row r="407" spans="1:9" x14ac:dyDescent="0.2">
      <c r="A407">
        <v>2019</v>
      </c>
      <c r="B407">
        <v>9</v>
      </c>
      <c r="C407" t="s">
        <v>64</v>
      </c>
      <c r="D407" t="s">
        <v>66</v>
      </c>
      <c r="E407" t="s">
        <v>68</v>
      </c>
      <c r="F407" s="14">
        <v>28711738</v>
      </c>
      <c r="G407" s="14">
        <v>28711738</v>
      </c>
      <c r="H407">
        <f t="shared" si="12"/>
        <v>0</v>
      </c>
      <c r="I407" s="20">
        <f t="shared" si="13"/>
        <v>43709</v>
      </c>
    </row>
    <row r="408" spans="1:9" x14ac:dyDescent="0.2">
      <c r="A408">
        <v>2019</v>
      </c>
      <c r="B408">
        <v>9</v>
      </c>
      <c r="C408" t="s">
        <v>55</v>
      </c>
      <c r="D408" t="s">
        <v>66</v>
      </c>
      <c r="E408" t="s">
        <v>63</v>
      </c>
      <c r="F408" s="14">
        <v>5166656</v>
      </c>
      <c r="G408" s="14">
        <v>3039211</v>
      </c>
      <c r="H408">
        <f t="shared" si="12"/>
        <v>0</v>
      </c>
      <c r="I408" s="20">
        <f t="shared" si="13"/>
        <v>43709</v>
      </c>
    </row>
    <row r="409" spans="1:9" x14ac:dyDescent="0.2">
      <c r="A409">
        <v>2019</v>
      </c>
      <c r="B409">
        <v>9</v>
      </c>
      <c r="C409" t="s">
        <v>55</v>
      </c>
      <c r="D409" t="s">
        <v>66</v>
      </c>
      <c r="E409" t="s">
        <v>67</v>
      </c>
      <c r="F409" s="14">
        <v>2808188</v>
      </c>
      <c r="G409" s="14">
        <v>1872125</v>
      </c>
      <c r="H409">
        <f t="shared" si="12"/>
        <v>0</v>
      </c>
      <c r="I409" s="20">
        <f t="shared" si="13"/>
        <v>43709</v>
      </c>
    </row>
    <row r="410" spans="1:9" x14ac:dyDescent="0.2">
      <c r="A410">
        <v>2019</v>
      </c>
      <c r="B410">
        <v>9</v>
      </c>
      <c r="C410" t="s">
        <v>55</v>
      </c>
      <c r="D410" t="s">
        <v>66</v>
      </c>
      <c r="E410" t="s">
        <v>68</v>
      </c>
      <c r="F410" s="14">
        <v>2030713</v>
      </c>
      <c r="G410" s="14">
        <v>2030713</v>
      </c>
      <c r="H410">
        <f t="shared" si="12"/>
        <v>0</v>
      </c>
      <c r="I410" s="20">
        <f t="shared" si="13"/>
        <v>43709</v>
      </c>
    </row>
    <row r="411" spans="1:9" x14ac:dyDescent="0.2">
      <c r="A411">
        <v>2019</v>
      </c>
      <c r="B411">
        <v>9</v>
      </c>
      <c r="C411" t="s">
        <v>55</v>
      </c>
      <c r="D411" t="s">
        <v>66</v>
      </c>
      <c r="E411" t="s">
        <v>74</v>
      </c>
      <c r="F411" s="14">
        <v>444411</v>
      </c>
      <c r="G411" s="14">
        <v>404010</v>
      </c>
      <c r="H411">
        <f t="shared" si="12"/>
        <v>0</v>
      </c>
      <c r="I411" s="20">
        <f t="shared" si="13"/>
        <v>43709</v>
      </c>
    </row>
    <row r="412" spans="1:9" x14ac:dyDescent="0.2">
      <c r="A412">
        <v>2019</v>
      </c>
      <c r="B412">
        <v>9</v>
      </c>
      <c r="C412" t="s">
        <v>55</v>
      </c>
      <c r="D412" t="s">
        <v>66</v>
      </c>
      <c r="E412" t="s">
        <v>75</v>
      </c>
      <c r="F412" s="14">
        <v>382865</v>
      </c>
      <c r="G412" s="14">
        <v>273475</v>
      </c>
      <c r="H412">
        <f t="shared" si="12"/>
        <v>0</v>
      </c>
      <c r="I412" s="20">
        <f t="shared" si="13"/>
        <v>43709</v>
      </c>
    </row>
    <row r="413" spans="1:9" x14ac:dyDescent="0.2">
      <c r="A413">
        <v>2019</v>
      </c>
      <c r="B413">
        <v>9</v>
      </c>
      <c r="C413" t="s">
        <v>55</v>
      </c>
      <c r="D413" t="s">
        <v>66</v>
      </c>
      <c r="E413" t="s">
        <v>69</v>
      </c>
      <c r="F413" s="14">
        <v>143716</v>
      </c>
      <c r="G413" s="14">
        <v>89823</v>
      </c>
      <c r="H413">
        <f t="shared" si="12"/>
        <v>0</v>
      </c>
      <c r="I413" s="20">
        <f t="shared" si="13"/>
        <v>43709</v>
      </c>
    </row>
    <row r="414" spans="1:9" x14ac:dyDescent="0.2">
      <c r="A414">
        <v>2019</v>
      </c>
      <c r="B414">
        <v>9</v>
      </c>
      <c r="C414" t="s">
        <v>55</v>
      </c>
      <c r="D414" t="s">
        <v>70</v>
      </c>
      <c r="E414" t="s">
        <v>68</v>
      </c>
      <c r="F414" s="14">
        <v>1186086691</v>
      </c>
      <c r="G414" s="14">
        <v>1186086691</v>
      </c>
      <c r="H414">
        <f t="shared" si="12"/>
        <v>0</v>
      </c>
      <c r="I414" s="20">
        <f t="shared" si="13"/>
        <v>43709</v>
      </c>
    </row>
    <row r="415" spans="1:9" x14ac:dyDescent="0.2">
      <c r="A415">
        <v>2019</v>
      </c>
      <c r="B415">
        <v>9</v>
      </c>
      <c r="C415" t="s">
        <v>62</v>
      </c>
      <c r="D415" t="s">
        <v>70</v>
      </c>
      <c r="E415" t="s">
        <v>63</v>
      </c>
      <c r="F415" s="14">
        <v>8167871</v>
      </c>
      <c r="G415" s="14">
        <v>4804630</v>
      </c>
      <c r="H415">
        <f t="shared" si="12"/>
        <v>0</v>
      </c>
      <c r="I415" s="20">
        <f t="shared" si="13"/>
        <v>43709</v>
      </c>
    </row>
    <row r="416" spans="1:9" x14ac:dyDescent="0.2">
      <c r="A416">
        <v>2019</v>
      </c>
      <c r="B416">
        <v>9</v>
      </c>
      <c r="C416" t="s">
        <v>64</v>
      </c>
      <c r="D416" t="s">
        <v>70</v>
      </c>
      <c r="E416" t="s">
        <v>68</v>
      </c>
      <c r="F416" s="14">
        <v>1155897</v>
      </c>
      <c r="G416" s="14">
        <v>1155897</v>
      </c>
      <c r="H416">
        <f t="shared" si="12"/>
        <v>0</v>
      </c>
      <c r="I416" s="20">
        <f t="shared" si="13"/>
        <v>43709</v>
      </c>
    </row>
    <row r="417" spans="1:9" x14ac:dyDescent="0.2">
      <c r="A417">
        <v>2019</v>
      </c>
      <c r="B417">
        <v>10</v>
      </c>
      <c r="C417" t="s">
        <v>55</v>
      </c>
      <c r="D417" t="s">
        <v>56</v>
      </c>
      <c r="E417" t="s">
        <v>59</v>
      </c>
      <c r="F417" s="14">
        <v>25986304</v>
      </c>
      <c r="G417" s="14">
        <v>25986304</v>
      </c>
      <c r="H417">
        <f t="shared" si="12"/>
        <v>0</v>
      </c>
      <c r="I417" s="20">
        <f t="shared" si="13"/>
        <v>43739</v>
      </c>
    </row>
    <row r="418" spans="1:9" x14ac:dyDescent="0.2">
      <c r="A418">
        <v>2019</v>
      </c>
      <c r="B418">
        <v>10</v>
      </c>
      <c r="C418" t="s">
        <v>55</v>
      </c>
      <c r="D418" t="s">
        <v>56</v>
      </c>
      <c r="E418" t="s">
        <v>58</v>
      </c>
      <c r="F418" s="14">
        <v>4270935</v>
      </c>
      <c r="G418" s="14">
        <v>4270935</v>
      </c>
      <c r="H418">
        <f t="shared" si="12"/>
        <v>0</v>
      </c>
      <c r="I418" s="20">
        <f t="shared" si="13"/>
        <v>43739</v>
      </c>
    </row>
    <row r="419" spans="1:9" x14ac:dyDescent="0.2">
      <c r="A419">
        <v>2019</v>
      </c>
      <c r="B419">
        <v>10</v>
      </c>
      <c r="C419" t="s">
        <v>64</v>
      </c>
      <c r="D419" t="s">
        <v>56</v>
      </c>
      <c r="E419" t="s">
        <v>58</v>
      </c>
      <c r="F419" s="14">
        <v>1887880</v>
      </c>
      <c r="G419" s="14">
        <v>1887880</v>
      </c>
      <c r="H419">
        <f t="shared" si="12"/>
        <v>0</v>
      </c>
      <c r="I419" s="20">
        <f t="shared" si="13"/>
        <v>43739</v>
      </c>
    </row>
    <row r="420" spans="1:9" x14ac:dyDescent="0.2">
      <c r="A420">
        <v>2019</v>
      </c>
      <c r="B420">
        <v>10</v>
      </c>
      <c r="C420" t="s">
        <v>64</v>
      </c>
      <c r="D420" t="s">
        <v>56</v>
      </c>
      <c r="E420" t="s">
        <v>59</v>
      </c>
      <c r="F420" s="14">
        <v>1009929</v>
      </c>
      <c r="G420" s="14">
        <v>1009929</v>
      </c>
      <c r="H420">
        <f t="shared" si="12"/>
        <v>0</v>
      </c>
      <c r="I420" s="20">
        <f t="shared" si="13"/>
        <v>43739</v>
      </c>
    </row>
    <row r="421" spans="1:9" x14ac:dyDescent="0.2">
      <c r="A421">
        <v>2019</v>
      </c>
      <c r="B421">
        <v>10</v>
      </c>
      <c r="C421" t="s">
        <v>55</v>
      </c>
      <c r="D421" t="s">
        <v>56</v>
      </c>
      <c r="E421" t="s">
        <v>57</v>
      </c>
      <c r="F421" s="14">
        <v>348381</v>
      </c>
      <c r="G421" s="14">
        <v>348381</v>
      </c>
      <c r="H421">
        <f t="shared" si="12"/>
        <v>0</v>
      </c>
      <c r="I421" s="20">
        <f t="shared" si="13"/>
        <v>43739</v>
      </c>
    </row>
    <row r="422" spans="1:9" x14ac:dyDescent="0.2">
      <c r="A422">
        <v>2019</v>
      </c>
      <c r="B422">
        <v>10</v>
      </c>
      <c r="C422" t="s">
        <v>55</v>
      </c>
      <c r="D422" t="s">
        <v>60</v>
      </c>
      <c r="E422" t="s">
        <v>61</v>
      </c>
      <c r="F422" s="14">
        <v>219930536</v>
      </c>
      <c r="G422" s="14">
        <v>146618360</v>
      </c>
      <c r="H422">
        <f t="shared" si="12"/>
        <v>0</v>
      </c>
      <c r="I422" s="20">
        <f t="shared" si="13"/>
        <v>43739</v>
      </c>
    </row>
    <row r="423" spans="1:9" x14ac:dyDescent="0.2">
      <c r="A423">
        <v>2019</v>
      </c>
      <c r="B423">
        <v>10</v>
      </c>
      <c r="C423" t="s">
        <v>55</v>
      </c>
      <c r="D423" t="s">
        <v>60</v>
      </c>
      <c r="E423" t="s">
        <v>63</v>
      </c>
      <c r="F423" s="14">
        <v>79207182</v>
      </c>
      <c r="G423" s="14">
        <v>46592429</v>
      </c>
      <c r="H423">
        <f t="shared" si="12"/>
        <v>0</v>
      </c>
      <c r="I423" s="20">
        <f t="shared" si="13"/>
        <v>43739</v>
      </c>
    </row>
    <row r="424" spans="1:9" x14ac:dyDescent="0.2">
      <c r="A424">
        <v>2019</v>
      </c>
      <c r="B424">
        <v>10</v>
      </c>
      <c r="C424" t="s">
        <v>62</v>
      </c>
      <c r="D424" t="s">
        <v>60</v>
      </c>
      <c r="E424" t="s">
        <v>63</v>
      </c>
      <c r="F424" s="14">
        <v>56190217</v>
      </c>
      <c r="G424" s="14">
        <v>33053069</v>
      </c>
      <c r="H424">
        <f t="shared" si="12"/>
        <v>0</v>
      </c>
      <c r="I424" s="20">
        <f t="shared" si="13"/>
        <v>43739</v>
      </c>
    </row>
    <row r="425" spans="1:9" x14ac:dyDescent="0.2">
      <c r="A425">
        <v>2019</v>
      </c>
      <c r="B425">
        <v>10</v>
      </c>
      <c r="C425" t="s">
        <v>64</v>
      </c>
      <c r="D425" t="s">
        <v>60</v>
      </c>
      <c r="E425" t="s">
        <v>61</v>
      </c>
      <c r="F425" s="14">
        <v>20672201</v>
      </c>
      <c r="G425" s="14">
        <v>13781446</v>
      </c>
      <c r="H425">
        <f t="shared" si="12"/>
        <v>0</v>
      </c>
      <c r="I425" s="20">
        <f t="shared" si="13"/>
        <v>43739</v>
      </c>
    </row>
    <row r="426" spans="1:9" x14ac:dyDescent="0.2">
      <c r="A426">
        <v>2019</v>
      </c>
      <c r="B426">
        <v>10</v>
      </c>
      <c r="C426" t="s">
        <v>55</v>
      </c>
      <c r="D426" t="s">
        <v>60</v>
      </c>
      <c r="E426" t="s">
        <v>65</v>
      </c>
      <c r="F426" s="14">
        <v>346518</v>
      </c>
      <c r="G426" s="14">
        <v>216574</v>
      </c>
      <c r="H426">
        <f t="shared" si="12"/>
        <v>1</v>
      </c>
      <c r="I426" s="20">
        <f t="shared" si="13"/>
        <v>43739</v>
      </c>
    </row>
    <row r="427" spans="1:9" x14ac:dyDescent="0.2">
      <c r="A427">
        <v>2019</v>
      </c>
      <c r="B427">
        <v>10</v>
      </c>
      <c r="C427" t="s">
        <v>64</v>
      </c>
      <c r="D427" t="s">
        <v>66</v>
      </c>
      <c r="E427" t="s">
        <v>68</v>
      </c>
      <c r="F427" s="14">
        <v>54364003</v>
      </c>
      <c r="G427" s="14">
        <v>54364003</v>
      </c>
      <c r="H427">
        <f t="shared" si="12"/>
        <v>0</v>
      </c>
      <c r="I427" s="20">
        <f t="shared" si="13"/>
        <v>43739</v>
      </c>
    </row>
    <row r="428" spans="1:9" x14ac:dyDescent="0.2">
      <c r="A428">
        <v>2019</v>
      </c>
      <c r="B428">
        <v>10</v>
      </c>
      <c r="C428" t="s">
        <v>55</v>
      </c>
      <c r="D428" t="s">
        <v>66</v>
      </c>
      <c r="E428" t="s">
        <v>63</v>
      </c>
      <c r="F428" s="14">
        <v>3360549</v>
      </c>
      <c r="G428" s="14">
        <v>1976794</v>
      </c>
      <c r="H428">
        <f t="shared" si="12"/>
        <v>0</v>
      </c>
      <c r="I428" s="20">
        <f t="shared" si="13"/>
        <v>43739</v>
      </c>
    </row>
    <row r="429" spans="1:9" x14ac:dyDescent="0.2">
      <c r="A429">
        <v>2019</v>
      </c>
      <c r="B429">
        <v>10</v>
      </c>
      <c r="C429" t="s">
        <v>55</v>
      </c>
      <c r="D429" t="s">
        <v>66</v>
      </c>
      <c r="E429" t="s">
        <v>67</v>
      </c>
      <c r="F429" s="14">
        <v>2996901</v>
      </c>
      <c r="G429" s="14">
        <v>1997933</v>
      </c>
      <c r="H429">
        <f t="shared" si="12"/>
        <v>0</v>
      </c>
      <c r="I429" s="20">
        <f t="shared" si="13"/>
        <v>43739</v>
      </c>
    </row>
    <row r="430" spans="1:9" x14ac:dyDescent="0.2">
      <c r="A430">
        <v>2019</v>
      </c>
      <c r="B430">
        <v>10</v>
      </c>
      <c r="C430" t="s">
        <v>55</v>
      </c>
      <c r="D430" t="s">
        <v>66</v>
      </c>
      <c r="E430" t="s">
        <v>68</v>
      </c>
      <c r="F430" s="14">
        <v>1819727</v>
      </c>
      <c r="G430" s="14">
        <v>1819727</v>
      </c>
      <c r="H430">
        <f t="shared" si="12"/>
        <v>0</v>
      </c>
      <c r="I430" s="20">
        <f t="shared" si="13"/>
        <v>43739</v>
      </c>
    </row>
    <row r="431" spans="1:9" x14ac:dyDescent="0.2">
      <c r="A431">
        <v>2019</v>
      </c>
      <c r="B431">
        <v>10</v>
      </c>
      <c r="C431" t="s">
        <v>55</v>
      </c>
      <c r="D431" t="s">
        <v>66</v>
      </c>
      <c r="E431" t="s">
        <v>69</v>
      </c>
      <c r="F431" s="14">
        <v>215335</v>
      </c>
      <c r="G431" s="14">
        <v>134585</v>
      </c>
      <c r="H431">
        <f t="shared" si="12"/>
        <v>0</v>
      </c>
      <c r="I431" s="20">
        <f t="shared" si="13"/>
        <v>43739</v>
      </c>
    </row>
    <row r="432" spans="1:9" x14ac:dyDescent="0.2">
      <c r="A432">
        <v>2019</v>
      </c>
      <c r="B432">
        <v>10</v>
      </c>
      <c r="C432" t="s">
        <v>55</v>
      </c>
      <c r="D432" t="s">
        <v>70</v>
      </c>
      <c r="E432" t="s">
        <v>68</v>
      </c>
      <c r="F432" s="14">
        <v>1237882981</v>
      </c>
      <c r="G432" s="14">
        <v>1237882981</v>
      </c>
      <c r="H432">
        <f t="shared" si="12"/>
        <v>0</v>
      </c>
      <c r="I432" s="20">
        <f t="shared" si="13"/>
        <v>43739</v>
      </c>
    </row>
    <row r="433" spans="1:9" x14ac:dyDescent="0.2">
      <c r="A433">
        <v>2019</v>
      </c>
      <c r="B433">
        <v>10</v>
      </c>
      <c r="C433" t="s">
        <v>62</v>
      </c>
      <c r="D433" t="s">
        <v>70</v>
      </c>
      <c r="E433" t="s">
        <v>63</v>
      </c>
      <c r="F433" s="14">
        <v>18275849</v>
      </c>
      <c r="G433" s="14">
        <v>10750499</v>
      </c>
      <c r="H433">
        <f t="shared" si="12"/>
        <v>0</v>
      </c>
      <c r="I433" s="20">
        <f t="shared" si="13"/>
        <v>43739</v>
      </c>
    </row>
    <row r="434" spans="1:9" x14ac:dyDescent="0.2">
      <c r="A434">
        <v>2019</v>
      </c>
      <c r="B434">
        <v>10</v>
      </c>
      <c r="C434" t="s">
        <v>64</v>
      </c>
      <c r="D434" t="s">
        <v>70</v>
      </c>
      <c r="E434" t="s">
        <v>68</v>
      </c>
      <c r="F434" s="14">
        <v>1202514</v>
      </c>
      <c r="G434" s="14">
        <v>1202514</v>
      </c>
      <c r="H434">
        <f t="shared" si="12"/>
        <v>0</v>
      </c>
      <c r="I434" s="20">
        <f t="shared" si="13"/>
        <v>43739</v>
      </c>
    </row>
    <row r="435" spans="1:9" x14ac:dyDescent="0.2">
      <c r="A435">
        <v>2019</v>
      </c>
      <c r="B435">
        <v>11</v>
      </c>
      <c r="C435" t="s">
        <v>55</v>
      </c>
      <c r="D435" t="s">
        <v>56</v>
      </c>
      <c r="E435" t="s">
        <v>59</v>
      </c>
      <c r="F435" s="14">
        <v>25595535</v>
      </c>
      <c r="G435" s="14">
        <v>25595535</v>
      </c>
      <c r="H435">
        <f t="shared" si="12"/>
        <v>0</v>
      </c>
      <c r="I435" s="20">
        <f t="shared" si="13"/>
        <v>43770</v>
      </c>
    </row>
    <row r="436" spans="1:9" x14ac:dyDescent="0.2">
      <c r="A436">
        <v>2019</v>
      </c>
      <c r="B436">
        <v>11</v>
      </c>
      <c r="C436" t="s">
        <v>55</v>
      </c>
      <c r="D436" t="s">
        <v>56</v>
      </c>
      <c r="E436" t="s">
        <v>58</v>
      </c>
      <c r="F436" s="14">
        <v>4115858</v>
      </c>
      <c r="G436" s="14">
        <v>4115858</v>
      </c>
      <c r="H436">
        <f t="shared" si="12"/>
        <v>0</v>
      </c>
      <c r="I436" s="20">
        <f t="shared" si="13"/>
        <v>43770</v>
      </c>
    </row>
    <row r="437" spans="1:9" x14ac:dyDescent="0.2">
      <c r="A437">
        <v>2019</v>
      </c>
      <c r="B437">
        <v>11</v>
      </c>
      <c r="C437" t="s">
        <v>64</v>
      </c>
      <c r="D437" t="s">
        <v>56</v>
      </c>
      <c r="E437" t="s">
        <v>58</v>
      </c>
      <c r="F437" s="14">
        <v>1885147</v>
      </c>
      <c r="G437" s="14">
        <v>1885147</v>
      </c>
      <c r="H437">
        <f t="shared" si="12"/>
        <v>0</v>
      </c>
      <c r="I437" s="20">
        <f t="shared" si="13"/>
        <v>43770</v>
      </c>
    </row>
    <row r="438" spans="1:9" x14ac:dyDescent="0.2">
      <c r="A438">
        <v>2019</v>
      </c>
      <c r="B438">
        <v>11</v>
      </c>
      <c r="C438" t="s">
        <v>64</v>
      </c>
      <c r="D438" t="s">
        <v>56</v>
      </c>
      <c r="E438" t="s">
        <v>59</v>
      </c>
      <c r="F438" s="14">
        <v>1170863</v>
      </c>
      <c r="G438" s="14">
        <v>1170863</v>
      </c>
      <c r="H438">
        <f t="shared" si="12"/>
        <v>0</v>
      </c>
      <c r="I438" s="20">
        <f t="shared" si="13"/>
        <v>43770</v>
      </c>
    </row>
    <row r="439" spans="1:9" x14ac:dyDescent="0.2">
      <c r="A439">
        <v>2019</v>
      </c>
      <c r="B439">
        <v>11</v>
      </c>
      <c r="C439" t="s">
        <v>55</v>
      </c>
      <c r="D439" t="s">
        <v>56</v>
      </c>
      <c r="E439" t="s">
        <v>57</v>
      </c>
      <c r="F439" s="14">
        <v>202030</v>
      </c>
      <c r="G439" s="14">
        <v>202030</v>
      </c>
      <c r="H439">
        <f t="shared" si="12"/>
        <v>0</v>
      </c>
      <c r="I439" s="20">
        <f t="shared" si="13"/>
        <v>43770</v>
      </c>
    </row>
    <row r="440" spans="1:9" x14ac:dyDescent="0.2">
      <c r="A440">
        <v>2019</v>
      </c>
      <c r="B440">
        <v>11</v>
      </c>
      <c r="C440" t="s">
        <v>55</v>
      </c>
      <c r="D440" t="s">
        <v>60</v>
      </c>
      <c r="E440" t="s">
        <v>61</v>
      </c>
      <c r="F440" s="14">
        <v>178711747</v>
      </c>
      <c r="G440" s="14">
        <v>119139678</v>
      </c>
      <c r="H440">
        <f t="shared" si="12"/>
        <v>0</v>
      </c>
      <c r="I440" s="20">
        <f t="shared" si="13"/>
        <v>43770</v>
      </c>
    </row>
    <row r="441" spans="1:9" x14ac:dyDescent="0.2">
      <c r="A441">
        <v>2019</v>
      </c>
      <c r="B441">
        <v>11</v>
      </c>
      <c r="C441" t="s">
        <v>55</v>
      </c>
      <c r="D441" t="s">
        <v>60</v>
      </c>
      <c r="E441" t="s">
        <v>63</v>
      </c>
      <c r="F441" s="14">
        <v>68203857</v>
      </c>
      <c r="G441" s="14">
        <v>40119894</v>
      </c>
      <c r="H441">
        <f t="shared" si="12"/>
        <v>0</v>
      </c>
      <c r="I441" s="20">
        <f t="shared" si="13"/>
        <v>43770</v>
      </c>
    </row>
    <row r="442" spans="1:9" x14ac:dyDescent="0.2">
      <c r="A442">
        <v>2019</v>
      </c>
      <c r="B442">
        <v>11</v>
      </c>
      <c r="C442" t="s">
        <v>62</v>
      </c>
      <c r="D442" t="s">
        <v>60</v>
      </c>
      <c r="E442" t="s">
        <v>63</v>
      </c>
      <c r="F442" s="14">
        <v>41048038</v>
      </c>
      <c r="G442" s="14">
        <v>24145905</v>
      </c>
      <c r="H442">
        <f t="shared" si="12"/>
        <v>0</v>
      </c>
      <c r="I442" s="20">
        <f t="shared" si="13"/>
        <v>43770</v>
      </c>
    </row>
    <row r="443" spans="1:9" x14ac:dyDescent="0.2">
      <c r="A443">
        <v>2019</v>
      </c>
      <c r="B443">
        <v>11</v>
      </c>
      <c r="C443" t="s">
        <v>64</v>
      </c>
      <c r="D443" t="s">
        <v>60</v>
      </c>
      <c r="E443" t="s">
        <v>61</v>
      </c>
      <c r="F443" s="14">
        <v>22853460</v>
      </c>
      <c r="G443" s="14">
        <v>15235613</v>
      </c>
      <c r="H443">
        <f t="shared" si="12"/>
        <v>0</v>
      </c>
      <c r="I443" s="20">
        <f t="shared" si="13"/>
        <v>43770</v>
      </c>
    </row>
    <row r="444" spans="1:9" x14ac:dyDescent="0.2">
      <c r="A444">
        <v>2019</v>
      </c>
      <c r="B444">
        <v>11</v>
      </c>
      <c r="C444" t="s">
        <v>55</v>
      </c>
      <c r="D444" t="s">
        <v>60</v>
      </c>
      <c r="E444" t="s">
        <v>65</v>
      </c>
      <c r="F444" s="14">
        <v>145880</v>
      </c>
      <c r="G444" s="14">
        <v>91175</v>
      </c>
      <c r="H444">
        <f t="shared" si="12"/>
        <v>1</v>
      </c>
      <c r="I444" s="20">
        <f t="shared" si="13"/>
        <v>43770</v>
      </c>
    </row>
    <row r="445" spans="1:9" x14ac:dyDescent="0.2">
      <c r="A445">
        <v>2019</v>
      </c>
      <c r="B445">
        <v>11</v>
      </c>
      <c r="C445" t="s">
        <v>64</v>
      </c>
      <c r="D445" t="s">
        <v>66</v>
      </c>
      <c r="E445" t="s">
        <v>68</v>
      </c>
      <c r="F445" s="14">
        <v>9565841</v>
      </c>
      <c r="G445" s="14">
        <v>9565841</v>
      </c>
      <c r="H445">
        <f t="shared" si="12"/>
        <v>0</v>
      </c>
      <c r="I445" s="20">
        <f t="shared" si="13"/>
        <v>43770</v>
      </c>
    </row>
    <row r="446" spans="1:9" x14ac:dyDescent="0.2">
      <c r="A446">
        <v>2019</v>
      </c>
      <c r="B446">
        <v>11</v>
      </c>
      <c r="C446" t="s">
        <v>55</v>
      </c>
      <c r="D446" t="s">
        <v>66</v>
      </c>
      <c r="E446" t="s">
        <v>63</v>
      </c>
      <c r="F446" s="14">
        <v>4070997</v>
      </c>
      <c r="G446" s="14">
        <v>2394703</v>
      </c>
      <c r="H446">
        <f t="shared" si="12"/>
        <v>0</v>
      </c>
      <c r="I446" s="20">
        <f t="shared" si="13"/>
        <v>43770</v>
      </c>
    </row>
    <row r="447" spans="1:9" x14ac:dyDescent="0.2">
      <c r="A447">
        <v>2019</v>
      </c>
      <c r="B447">
        <v>11</v>
      </c>
      <c r="C447" t="s">
        <v>55</v>
      </c>
      <c r="D447" t="s">
        <v>66</v>
      </c>
      <c r="E447" t="s">
        <v>67</v>
      </c>
      <c r="F447" s="14">
        <v>2960079</v>
      </c>
      <c r="G447" s="14">
        <v>1973385</v>
      </c>
      <c r="H447">
        <f t="shared" si="12"/>
        <v>0</v>
      </c>
      <c r="I447" s="20">
        <f t="shared" si="13"/>
        <v>43770</v>
      </c>
    </row>
    <row r="448" spans="1:9" x14ac:dyDescent="0.2">
      <c r="A448">
        <v>2019</v>
      </c>
      <c r="B448">
        <v>11</v>
      </c>
      <c r="C448" t="s">
        <v>55</v>
      </c>
      <c r="D448" t="s">
        <v>66</v>
      </c>
      <c r="E448" t="s">
        <v>68</v>
      </c>
      <c r="F448" s="14">
        <v>1813191</v>
      </c>
      <c r="G448" s="14">
        <v>1813191</v>
      </c>
      <c r="H448">
        <f t="shared" si="12"/>
        <v>0</v>
      </c>
      <c r="I448" s="20">
        <f t="shared" si="13"/>
        <v>43770</v>
      </c>
    </row>
    <row r="449" spans="1:9" x14ac:dyDescent="0.2">
      <c r="A449">
        <v>2019</v>
      </c>
      <c r="B449">
        <v>11</v>
      </c>
      <c r="C449" t="s">
        <v>55</v>
      </c>
      <c r="D449" t="s">
        <v>66</v>
      </c>
      <c r="E449" t="s">
        <v>74</v>
      </c>
      <c r="F449" s="14">
        <v>403680</v>
      </c>
      <c r="G449" s="14">
        <v>366982</v>
      </c>
      <c r="H449">
        <f t="shared" si="12"/>
        <v>0</v>
      </c>
      <c r="I449" s="20">
        <f t="shared" si="13"/>
        <v>43770</v>
      </c>
    </row>
    <row r="450" spans="1:9" x14ac:dyDescent="0.2">
      <c r="A450">
        <v>2019</v>
      </c>
      <c r="B450">
        <v>11</v>
      </c>
      <c r="C450" t="s">
        <v>55</v>
      </c>
      <c r="D450" t="s">
        <v>66</v>
      </c>
      <c r="E450" t="s">
        <v>75</v>
      </c>
      <c r="F450" s="14">
        <v>375572</v>
      </c>
      <c r="G450" s="14">
        <v>268266</v>
      </c>
      <c r="H450">
        <f t="shared" si="12"/>
        <v>0</v>
      </c>
      <c r="I450" s="20">
        <f t="shared" si="13"/>
        <v>43770</v>
      </c>
    </row>
    <row r="451" spans="1:9" x14ac:dyDescent="0.2">
      <c r="A451">
        <v>2019</v>
      </c>
      <c r="B451">
        <v>11</v>
      </c>
      <c r="C451" t="s">
        <v>55</v>
      </c>
      <c r="D451" t="s">
        <v>66</v>
      </c>
      <c r="E451" t="s">
        <v>69</v>
      </c>
      <c r="F451" s="14">
        <v>270738</v>
      </c>
      <c r="G451" s="14">
        <v>169211</v>
      </c>
      <c r="H451">
        <f t="shared" ref="H451:H514" si="14">--ISNUMBER(SEARCH("Jet Fuel",E451))</f>
        <v>0</v>
      </c>
      <c r="I451" s="20">
        <f t="shared" ref="I451:I514" si="15">DATE(A451,B451,1)</f>
        <v>43770</v>
      </c>
    </row>
    <row r="452" spans="1:9" x14ac:dyDescent="0.2">
      <c r="A452">
        <v>2019</v>
      </c>
      <c r="B452">
        <v>11</v>
      </c>
      <c r="C452" t="s">
        <v>55</v>
      </c>
      <c r="D452" t="s">
        <v>70</v>
      </c>
      <c r="E452" t="s">
        <v>68</v>
      </c>
      <c r="F452" s="14">
        <v>1194230202</v>
      </c>
      <c r="G452" s="14">
        <v>1194230202</v>
      </c>
      <c r="H452">
        <f t="shared" si="14"/>
        <v>0</v>
      </c>
      <c r="I452" s="20">
        <f t="shared" si="15"/>
        <v>43770</v>
      </c>
    </row>
    <row r="453" spans="1:9" x14ac:dyDescent="0.2">
      <c r="A453">
        <v>2019</v>
      </c>
      <c r="B453">
        <v>11</v>
      </c>
      <c r="C453" t="s">
        <v>62</v>
      </c>
      <c r="D453" t="s">
        <v>70</v>
      </c>
      <c r="E453" t="s">
        <v>63</v>
      </c>
      <c r="F453" s="14">
        <v>22283673</v>
      </c>
      <c r="G453" s="14">
        <v>13108043</v>
      </c>
      <c r="H453">
        <f t="shared" si="14"/>
        <v>0</v>
      </c>
      <c r="I453" s="20">
        <f t="shared" si="15"/>
        <v>43770</v>
      </c>
    </row>
    <row r="454" spans="1:9" x14ac:dyDescent="0.2">
      <c r="A454">
        <v>2019</v>
      </c>
      <c r="B454">
        <v>11</v>
      </c>
      <c r="C454" t="s">
        <v>64</v>
      </c>
      <c r="D454" t="s">
        <v>70</v>
      </c>
      <c r="E454" t="s">
        <v>68</v>
      </c>
      <c r="F454" s="14">
        <v>1027120</v>
      </c>
      <c r="G454" s="14">
        <v>1027120</v>
      </c>
      <c r="H454">
        <f t="shared" si="14"/>
        <v>0</v>
      </c>
      <c r="I454" s="20">
        <f t="shared" si="15"/>
        <v>43770</v>
      </c>
    </row>
    <row r="455" spans="1:9" x14ac:dyDescent="0.2">
      <c r="A455">
        <v>2019</v>
      </c>
      <c r="B455">
        <v>12</v>
      </c>
      <c r="C455" t="s">
        <v>55</v>
      </c>
      <c r="D455" t="s">
        <v>56</v>
      </c>
      <c r="E455" t="s">
        <v>59</v>
      </c>
      <c r="F455" s="14">
        <v>53324240</v>
      </c>
      <c r="G455" s="14">
        <v>53324240</v>
      </c>
      <c r="H455">
        <f t="shared" si="14"/>
        <v>0</v>
      </c>
      <c r="I455" s="20">
        <f t="shared" si="15"/>
        <v>43800</v>
      </c>
    </row>
    <row r="456" spans="1:9" x14ac:dyDescent="0.2">
      <c r="A456">
        <v>2019</v>
      </c>
      <c r="B456">
        <v>12</v>
      </c>
      <c r="C456" t="s">
        <v>55</v>
      </c>
      <c r="D456" t="s">
        <v>56</v>
      </c>
      <c r="E456" t="s">
        <v>58</v>
      </c>
      <c r="F456" s="14">
        <v>10513986</v>
      </c>
      <c r="G456" s="14">
        <v>10513986</v>
      </c>
      <c r="H456">
        <f t="shared" si="14"/>
        <v>0</v>
      </c>
      <c r="I456" s="20">
        <f t="shared" si="15"/>
        <v>43800</v>
      </c>
    </row>
    <row r="457" spans="1:9" x14ac:dyDescent="0.2">
      <c r="A457">
        <v>2019</v>
      </c>
      <c r="B457">
        <v>12</v>
      </c>
      <c r="C457" t="s">
        <v>64</v>
      </c>
      <c r="D457" t="s">
        <v>56</v>
      </c>
      <c r="E457" t="s">
        <v>58</v>
      </c>
      <c r="F457" s="14">
        <v>4121820</v>
      </c>
      <c r="G457" s="14">
        <v>4121820</v>
      </c>
      <c r="H457">
        <f t="shared" si="14"/>
        <v>0</v>
      </c>
      <c r="I457" s="20">
        <f t="shared" si="15"/>
        <v>43800</v>
      </c>
    </row>
    <row r="458" spans="1:9" x14ac:dyDescent="0.2">
      <c r="A458">
        <v>2019</v>
      </c>
      <c r="B458">
        <v>12</v>
      </c>
      <c r="C458" t="s">
        <v>64</v>
      </c>
      <c r="D458" t="s">
        <v>56</v>
      </c>
      <c r="E458" t="s">
        <v>59</v>
      </c>
      <c r="F458" s="14">
        <v>1834474</v>
      </c>
      <c r="G458" s="14">
        <v>1834474</v>
      </c>
      <c r="H458">
        <f t="shared" si="14"/>
        <v>0</v>
      </c>
      <c r="I458" s="20">
        <f t="shared" si="15"/>
        <v>43800</v>
      </c>
    </row>
    <row r="459" spans="1:9" x14ac:dyDescent="0.2">
      <c r="A459">
        <v>2019</v>
      </c>
      <c r="B459">
        <v>12</v>
      </c>
      <c r="C459" t="s">
        <v>55</v>
      </c>
      <c r="D459" t="s">
        <v>56</v>
      </c>
      <c r="E459" t="s">
        <v>57</v>
      </c>
      <c r="F459" s="14">
        <v>197121</v>
      </c>
      <c r="G459" s="14">
        <v>197121</v>
      </c>
      <c r="H459">
        <f t="shared" si="14"/>
        <v>0</v>
      </c>
      <c r="I459" s="20">
        <f t="shared" si="15"/>
        <v>43800</v>
      </c>
    </row>
    <row r="460" spans="1:9" x14ac:dyDescent="0.2">
      <c r="A460">
        <v>2019</v>
      </c>
      <c r="B460">
        <v>12</v>
      </c>
      <c r="C460" t="s">
        <v>55</v>
      </c>
      <c r="D460" t="s">
        <v>60</v>
      </c>
      <c r="E460" t="s">
        <v>61</v>
      </c>
      <c r="F460" s="14">
        <v>209404921</v>
      </c>
      <c r="G460" s="14">
        <v>139601581</v>
      </c>
      <c r="H460">
        <f t="shared" si="14"/>
        <v>0</v>
      </c>
      <c r="I460" s="20">
        <f t="shared" si="15"/>
        <v>43800</v>
      </c>
    </row>
    <row r="461" spans="1:9" x14ac:dyDescent="0.2">
      <c r="A461">
        <v>2019</v>
      </c>
      <c r="B461">
        <v>12</v>
      </c>
      <c r="C461" t="s">
        <v>55</v>
      </c>
      <c r="D461" t="s">
        <v>60</v>
      </c>
      <c r="E461" t="s">
        <v>63</v>
      </c>
      <c r="F461" s="14">
        <v>84615110</v>
      </c>
      <c r="G461" s="14">
        <v>49773555</v>
      </c>
      <c r="H461">
        <f t="shared" si="14"/>
        <v>0</v>
      </c>
      <c r="I461" s="20">
        <f t="shared" si="15"/>
        <v>43800</v>
      </c>
    </row>
    <row r="462" spans="1:9" x14ac:dyDescent="0.2">
      <c r="A462">
        <v>2019</v>
      </c>
      <c r="B462">
        <v>12</v>
      </c>
      <c r="C462" t="s">
        <v>62</v>
      </c>
      <c r="D462" t="s">
        <v>60</v>
      </c>
      <c r="E462" t="s">
        <v>63</v>
      </c>
      <c r="F462" s="14">
        <v>52020645</v>
      </c>
      <c r="G462" s="14">
        <v>30600380</v>
      </c>
      <c r="H462">
        <f t="shared" si="14"/>
        <v>0</v>
      </c>
      <c r="I462" s="20">
        <f t="shared" si="15"/>
        <v>43800</v>
      </c>
    </row>
    <row r="463" spans="1:9" x14ac:dyDescent="0.2">
      <c r="A463">
        <v>2019</v>
      </c>
      <c r="B463">
        <v>12</v>
      </c>
      <c r="C463" t="s">
        <v>64</v>
      </c>
      <c r="D463" t="s">
        <v>60</v>
      </c>
      <c r="E463" t="s">
        <v>61</v>
      </c>
      <c r="F463" s="14">
        <v>36477657</v>
      </c>
      <c r="G463" s="14">
        <v>24318415</v>
      </c>
      <c r="H463">
        <f t="shared" si="14"/>
        <v>0</v>
      </c>
      <c r="I463" s="20">
        <f t="shared" si="15"/>
        <v>43800</v>
      </c>
    </row>
    <row r="464" spans="1:9" x14ac:dyDescent="0.2">
      <c r="A464">
        <v>2019</v>
      </c>
      <c r="B464">
        <v>12</v>
      </c>
      <c r="C464" t="s">
        <v>55</v>
      </c>
      <c r="D464" t="s">
        <v>60</v>
      </c>
      <c r="E464" t="s">
        <v>65</v>
      </c>
      <c r="F464" s="14">
        <v>219733</v>
      </c>
      <c r="G464" s="14">
        <v>137333</v>
      </c>
      <c r="H464">
        <f t="shared" si="14"/>
        <v>1</v>
      </c>
      <c r="I464" s="20">
        <f t="shared" si="15"/>
        <v>43800</v>
      </c>
    </row>
    <row r="465" spans="1:9" x14ac:dyDescent="0.2">
      <c r="A465">
        <v>2019</v>
      </c>
      <c r="B465">
        <v>12</v>
      </c>
      <c r="C465" t="s">
        <v>64</v>
      </c>
      <c r="D465" t="s">
        <v>66</v>
      </c>
      <c r="E465" t="s">
        <v>68</v>
      </c>
      <c r="F465" s="14">
        <v>21228729</v>
      </c>
      <c r="G465" s="14">
        <v>21228729</v>
      </c>
      <c r="H465">
        <f t="shared" si="14"/>
        <v>0</v>
      </c>
      <c r="I465" s="20">
        <f t="shared" si="15"/>
        <v>43800</v>
      </c>
    </row>
    <row r="466" spans="1:9" x14ac:dyDescent="0.2">
      <c r="A466">
        <v>2019</v>
      </c>
      <c r="B466">
        <v>12</v>
      </c>
      <c r="C466" t="s">
        <v>55</v>
      </c>
      <c r="D466" t="s">
        <v>66</v>
      </c>
      <c r="E466" t="s">
        <v>63</v>
      </c>
      <c r="F466" s="14">
        <v>5138429</v>
      </c>
      <c r="G466" s="14">
        <v>3022605</v>
      </c>
      <c r="H466">
        <f t="shared" si="14"/>
        <v>0</v>
      </c>
      <c r="I466" s="20">
        <f t="shared" si="15"/>
        <v>43800</v>
      </c>
    </row>
    <row r="467" spans="1:9" x14ac:dyDescent="0.2">
      <c r="A467">
        <v>2019</v>
      </c>
      <c r="B467">
        <v>12</v>
      </c>
      <c r="C467" t="s">
        <v>55</v>
      </c>
      <c r="D467" t="s">
        <v>66</v>
      </c>
      <c r="E467" t="s">
        <v>67</v>
      </c>
      <c r="F467" s="14">
        <v>3159519</v>
      </c>
      <c r="G467" s="14">
        <v>2106345</v>
      </c>
      <c r="H467">
        <f t="shared" si="14"/>
        <v>0</v>
      </c>
      <c r="I467" s="20">
        <f t="shared" si="15"/>
        <v>43800</v>
      </c>
    </row>
    <row r="468" spans="1:9" x14ac:dyDescent="0.2">
      <c r="A468">
        <v>2019</v>
      </c>
      <c r="B468">
        <v>12</v>
      </c>
      <c r="C468" t="s">
        <v>55</v>
      </c>
      <c r="D468" t="s">
        <v>66</v>
      </c>
      <c r="E468" t="s">
        <v>68</v>
      </c>
      <c r="F468" s="14">
        <v>1861860</v>
      </c>
      <c r="G468" s="14">
        <v>1861860</v>
      </c>
      <c r="H468">
        <f t="shared" si="14"/>
        <v>0</v>
      </c>
      <c r="I468" s="20">
        <f t="shared" si="15"/>
        <v>43800</v>
      </c>
    </row>
    <row r="469" spans="1:9" x14ac:dyDescent="0.2">
      <c r="A469">
        <v>2019</v>
      </c>
      <c r="B469">
        <v>12</v>
      </c>
      <c r="C469" t="s">
        <v>55</v>
      </c>
      <c r="D469" t="s">
        <v>66</v>
      </c>
      <c r="E469" t="s">
        <v>75</v>
      </c>
      <c r="F469" s="14">
        <v>1210673</v>
      </c>
      <c r="G469" s="14">
        <v>864766</v>
      </c>
      <c r="H469">
        <f t="shared" si="14"/>
        <v>0</v>
      </c>
      <c r="I469" s="20">
        <f t="shared" si="15"/>
        <v>43800</v>
      </c>
    </row>
    <row r="470" spans="1:9" x14ac:dyDescent="0.2">
      <c r="A470">
        <v>2019</v>
      </c>
      <c r="B470">
        <v>12</v>
      </c>
      <c r="C470" t="s">
        <v>55</v>
      </c>
      <c r="D470" t="s">
        <v>66</v>
      </c>
      <c r="E470" t="s">
        <v>74</v>
      </c>
      <c r="F470" s="14">
        <v>1113650</v>
      </c>
      <c r="G470" s="14">
        <v>1012409</v>
      </c>
      <c r="H470">
        <f t="shared" si="14"/>
        <v>0</v>
      </c>
      <c r="I470" s="20">
        <f t="shared" si="15"/>
        <v>43800</v>
      </c>
    </row>
    <row r="471" spans="1:9" x14ac:dyDescent="0.2">
      <c r="A471">
        <v>2019</v>
      </c>
      <c r="B471">
        <v>12</v>
      </c>
      <c r="C471" t="s">
        <v>55</v>
      </c>
      <c r="D471" t="s">
        <v>66</v>
      </c>
      <c r="E471" t="s">
        <v>69</v>
      </c>
      <c r="F471" s="14">
        <v>394198</v>
      </c>
      <c r="G471" s="14">
        <v>246372</v>
      </c>
      <c r="H471">
        <f t="shared" si="14"/>
        <v>0</v>
      </c>
      <c r="I471" s="20">
        <f t="shared" si="15"/>
        <v>43800</v>
      </c>
    </row>
    <row r="472" spans="1:9" x14ac:dyDescent="0.2">
      <c r="A472">
        <v>2019</v>
      </c>
      <c r="B472">
        <v>12</v>
      </c>
      <c r="C472" t="s">
        <v>55</v>
      </c>
      <c r="D472" t="s">
        <v>70</v>
      </c>
      <c r="E472" t="s">
        <v>68</v>
      </c>
      <c r="F472" s="14">
        <v>1288930778</v>
      </c>
      <c r="G472" s="14">
        <v>1288930778</v>
      </c>
      <c r="H472">
        <f t="shared" si="14"/>
        <v>0</v>
      </c>
      <c r="I472" s="20">
        <f t="shared" si="15"/>
        <v>43800</v>
      </c>
    </row>
    <row r="473" spans="1:9" x14ac:dyDescent="0.2">
      <c r="A473">
        <v>2019</v>
      </c>
      <c r="B473">
        <v>12</v>
      </c>
      <c r="C473" t="s">
        <v>62</v>
      </c>
      <c r="D473" t="s">
        <v>70</v>
      </c>
      <c r="E473" t="s">
        <v>63</v>
      </c>
      <c r="F473" s="14">
        <v>16647020</v>
      </c>
      <c r="G473" s="14">
        <v>9792364</v>
      </c>
      <c r="H473">
        <f t="shared" si="14"/>
        <v>0</v>
      </c>
      <c r="I473" s="20">
        <f t="shared" si="15"/>
        <v>43800</v>
      </c>
    </row>
    <row r="474" spans="1:9" x14ac:dyDescent="0.2">
      <c r="A474">
        <v>2019</v>
      </c>
      <c r="B474">
        <v>12</v>
      </c>
      <c r="C474" t="s">
        <v>64</v>
      </c>
      <c r="D474" t="s">
        <v>70</v>
      </c>
      <c r="E474" t="s">
        <v>68</v>
      </c>
      <c r="F474" s="14">
        <v>1132234</v>
      </c>
      <c r="G474" s="14">
        <v>1132234</v>
      </c>
      <c r="H474">
        <f t="shared" si="14"/>
        <v>0</v>
      </c>
      <c r="I474" s="20">
        <f t="shared" si="15"/>
        <v>43800</v>
      </c>
    </row>
    <row r="475" spans="1:9" x14ac:dyDescent="0.2">
      <c r="A475">
        <v>2020</v>
      </c>
      <c r="B475">
        <v>1</v>
      </c>
      <c r="C475" t="s">
        <v>55</v>
      </c>
      <c r="D475" t="s">
        <v>56</v>
      </c>
      <c r="E475" t="s">
        <v>59</v>
      </c>
      <c r="F475" s="14">
        <v>450471</v>
      </c>
      <c r="G475" s="14">
        <v>450471</v>
      </c>
      <c r="H475">
        <f t="shared" si="14"/>
        <v>0</v>
      </c>
      <c r="I475" s="20">
        <f t="shared" si="15"/>
        <v>43831</v>
      </c>
    </row>
    <row r="476" spans="1:9" x14ac:dyDescent="0.2">
      <c r="A476">
        <v>2020</v>
      </c>
      <c r="B476">
        <v>1</v>
      </c>
      <c r="C476" t="s">
        <v>55</v>
      </c>
      <c r="D476" t="s">
        <v>56</v>
      </c>
      <c r="E476" t="s">
        <v>57</v>
      </c>
      <c r="F476" s="14">
        <v>174291</v>
      </c>
      <c r="G476" s="14">
        <v>174291</v>
      </c>
      <c r="H476">
        <f t="shared" si="14"/>
        <v>0</v>
      </c>
      <c r="I476" s="20">
        <f t="shared" si="15"/>
        <v>43831</v>
      </c>
    </row>
    <row r="477" spans="1:9" x14ac:dyDescent="0.2">
      <c r="A477">
        <v>2020</v>
      </c>
      <c r="B477">
        <v>1</v>
      </c>
      <c r="C477" t="s">
        <v>55</v>
      </c>
      <c r="D477" t="s">
        <v>56</v>
      </c>
      <c r="E477" t="s">
        <v>58</v>
      </c>
      <c r="F477" s="14">
        <v>51166</v>
      </c>
      <c r="G477" s="14">
        <v>51166</v>
      </c>
      <c r="H477">
        <f t="shared" si="14"/>
        <v>0</v>
      </c>
      <c r="I477" s="20">
        <f t="shared" si="15"/>
        <v>43831</v>
      </c>
    </row>
    <row r="478" spans="1:9" x14ac:dyDescent="0.2">
      <c r="A478">
        <v>2020</v>
      </c>
      <c r="B478">
        <v>1</v>
      </c>
      <c r="C478" t="s">
        <v>55</v>
      </c>
      <c r="D478" t="s">
        <v>60</v>
      </c>
      <c r="E478" t="s">
        <v>61</v>
      </c>
      <c r="F478" s="14">
        <v>177608018</v>
      </c>
      <c r="G478" s="14">
        <v>118403817</v>
      </c>
      <c r="H478">
        <f t="shared" si="14"/>
        <v>0</v>
      </c>
      <c r="I478" s="20">
        <f t="shared" si="15"/>
        <v>43831</v>
      </c>
    </row>
    <row r="479" spans="1:9" x14ac:dyDescent="0.2">
      <c r="A479">
        <v>2020</v>
      </c>
      <c r="B479">
        <v>1</v>
      </c>
      <c r="C479" t="s">
        <v>55</v>
      </c>
      <c r="D479" t="s">
        <v>60</v>
      </c>
      <c r="E479" t="s">
        <v>63</v>
      </c>
      <c r="F479" s="14">
        <v>64314791</v>
      </c>
      <c r="G479" s="14">
        <v>37832200</v>
      </c>
      <c r="H479">
        <f t="shared" si="14"/>
        <v>0</v>
      </c>
      <c r="I479" s="20">
        <f t="shared" si="15"/>
        <v>43831</v>
      </c>
    </row>
    <row r="480" spans="1:9" x14ac:dyDescent="0.2">
      <c r="A480">
        <v>2020</v>
      </c>
      <c r="B480">
        <v>1</v>
      </c>
      <c r="C480" t="s">
        <v>62</v>
      </c>
      <c r="D480" t="s">
        <v>60</v>
      </c>
      <c r="E480" t="s">
        <v>63</v>
      </c>
      <c r="F480" s="14">
        <v>37835058</v>
      </c>
      <c r="G480" s="14">
        <v>22255917</v>
      </c>
      <c r="H480">
        <f t="shared" si="14"/>
        <v>0</v>
      </c>
      <c r="I480" s="20">
        <f t="shared" si="15"/>
        <v>43831</v>
      </c>
    </row>
    <row r="481" spans="1:9" x14ac:dyDescent="0.2">
      <c r="A481">
        <v>2020</v>
      </c>
      <c r="B481">
        <v>1</v>
      </c>
      <c r="C481" t="s">
        <v>64</v>
      </c>
      <c r="D481" t="s">
        <v>60</v>
      </c>
      <c r="E481" t="s">
        <v>61</v>
      </c>
      <c r="F481" s="14">
        <v>20606859</v>
      </c>
      <c r="G481" s="14">
        <v>13737888</v>
      </c>
      <c r="H481">
        <f t="shared" si="14"/>
        <v>0</v>
      </c>
      <c r="I481" s="20">
        <f t="shared" si="15"/>
        <v>43831</v>
      </c>
    </row>
    <row r="482" spans="1:9" x14ac:dyDescent="0.2">
      <c r="A482">
        <v>2020</v>
      </c>
      <c r="B482">
        <v>1</v>
      </c>
      <c r="C482" t="s">
        <v>55</v>
      </c>
      <c r="D482" t="s">
        <v>60</v>
      </c>
      <c r="E482" t="s">
        <v>65</v>
      </c>
      <c r="F482" s="14">
        <v>66544</v>
      </c>
      <c r="G482" s="14">
        <v>41590</v>
      </c>
      <c r="H482">
        <f t="shared" si="14"/>
        <v>1</v>
      </c>
      <c r="I482" s="20">
        <f t="shared" si="15"/>
        <v>43831</v>
      </c>
    </row>
    <row r="483" spans="1:9" x14ac:dyDescent="0.2">
      <c r="A483">
        <v>2020</v>
      </c>
      <c r="B483">
        <v>1</v>
      </c>
      <c r="C483" t="s">
        <v>64</v>
      </c>
      <c r="D483" t="s">
        <v>66</v>
      </c>
      <c r="E483" t="s">
        <v>68</v>
      </c>
      <c r="F483" s="14">
        <v>7566830</v>
      </c>
      <c r="G483" s="14">
        <v>7566830</v>
      </c>
      <c r="H483">
        <f t="shared" si="14"/>
        <v>0</v>
      </c>
      <c r="I483" s="20">
        <f t="shared" si="15"/>
        <v>43831</v>
      </c>
    </row>
    <row r="484" spans="1:9" x14ac:dyDescent="0.2">
      <c r="A484">
        <v>2020</v>
      </c>
      <c r="B484">
        <v>1</v>
      </c>
      <c r="C484" t="s">
        <v>55</v>
      </c>
      <c r="D484" t="s">
        <v>66</v>
      </c>
      <c r="E484" t="s">
        <v>63</v>
      </c>
      <c r="F484" s="14">
        <v>6842999</v>
      </c>
      <c r="G484" s="14">
        <v>4025292</v>
      </c>
      <c r="H484">
        <f t="shared" si="14"/>
        <v>0</v>
      </c>
      <c r="I484" s="20">
        <f t="shared" si="15"/>
        <v>43831</v>
      </c>
    </row>
    <row r="485" spans="1:9" x14ac:dyDescent="0.2">
      <c r="A485">
        <v>2020</v>
      </c>
      <c r="B485">
        <v>1</v>
      </c>
      <c r="C485" t="s">
        <v>55</v>
      </c>
      <c r="D485" t="s">
        <v>66</v>
      </c>
      <c r="E485" t="s">
        <v>67</v>
      </c>
      <c r="F485" s="14">
        <v>3041038</v>
      </c>
      <c r="G485" s="14">
        <v>2027357</v>
      </c>
      <c r="H485">
        <f t="shared" si="14"/>
        <v>0</v>
      </c>
      <c r="I485" s="20">
        <f t="shared" si="15"/>
        <v>43831</v>
      </c>
    </row>
    <row r="486" spans="1:9" x14ac:dyDescent="0.2">
      <c r="A486">
        <v>2020</v>
      </c>
      <c r="B486">
        <v>1</v>
      </c>
      <c r="C486" t="s">
        <v>55</v>
      </c>
      <c r="D486" t="s">
        <v>66</v>
      </c>
      <c r="E486" t="s">
        <v>68</v>
      </c>
      <c r="F486" s="14">
        <v>1856511</v>
      </c>
      <c r="G486" s="14">
        <v>1856511</v>
      </c>
      <c r="H486">
        <f t="shared" si="14"/>
        <v>0</v>
      </c>
      <c r="I486" s="20">
        <f t="shared" si="15"/>
        <v>43831</v>
      </c>
    </row>
    <row r="487" spans="1:9" x14ac:dyDescent="0.2">
      <c r="A487">
        <v>2020</v>
      </c>
      <c r="B487">
        <v>1</v>
      </c>
      <c r="C487" t="s">
        <v>55</v>
      </c>
      <c r="D487" t="s">
        <v>66</v>
      </c>
      <c r="E487" t="s">
        <v>69</v>
      </c>
      <c r="F487" s="14">
        <v>415096</v>
      </c>
      <c r="G487" s="14">
        <v>259436</v>
      </c>
      <c r="H487">
        <f t="shared" si="14"/>
        <v>0</v>
      </c>
      <c r="I487" s="20">
        <f t="shared" si="15"/>
        <v>43831</v>
      </c>
    </row>
    <row r="488" spans="1:9" x14ac:dyDescent="0.2">
      <c r="A488">
        <v>2020</v>
      </c>
      <c r="B488">
        <v>1</v>
      </c>
      <c r="C488" t="s">
        <v>55</v>
      </c>
      <c r="D488" t="s">
        <v>70</v>
      </c>
      <c r="E488" t="s">
        <v>68</v>
      </c>
      <c r="F488" s="14">
        <v>1238303796</v>
      </c>
      <c r="G488" s="14">
        <v>1238303796</v>
      </c>
      <c r="H488">
        <f t="shared" si="14"/>
        <v>0</v>
      </c>
      <c r="I488" s="20">
        <f t="shared" si="15"/>
        <v>43831</v>
      </c>
    </row>
    <row r="489" spans="1:9" x14ac:dyDescent="0.2">
      <c r="A489">
        <v>2020</v>
      </c>
      <c r="B489">
        <v>1</v>
      </c>
      <c r="C489" t="s">
        <v>62</v>
      </c>
      <c r="D489" t="s">
        <v>70</v>
      </c>
      <c r="E489" t="s">
        <v>63</v>
      </c>
      <c r="F489" s="14">
        <v>12787512</v>
      </c>
      <c r="G489" s="14">
        <v>7522066</v>
      </c>
      <c r="H489">
        <f t="shared" si="14"/>
        <v>0</v>
      </c>
      <c r="I489" s="20">
        <f t="shared" si="15"/>
        <v>43831</v>
      </c>
    </row>
    <row r="490" spans="1:9" x14ac:dyDescent="0.2">
      <c r="A490">
        <v>2020</v>
      </c>
      <c r="B490">
        <v>1</v>
      </c>
      <c r="C490" t="s">
        <v>64</v>
      </c>
      <c r="D490" t="s">
        <v>70</v>
      </c>
      <c r="E490" t="s">
        <v>68</v>
      </c>
      <c r="F490" s="14">
        <v>1036449</v>
      </c>
      <c r="G490" s="14">
        <v>1036449</v>
      </c>
      <c r="H490">
        <f t="shared" si="14"/>
        <v>0</v>
      </c>
      <c r="I490" s="20">
        <f t="shared" si="15"/>
        <v>43831</v>
      </c>
    </row>
    <row r="491" spans="1:9" x14ac:dyDescent="0.2">
      <c r="A491">
        <v>2020</v>
      </c>
      <c r="B491">
        <v>2</v>
      </c>
      <c r="C491" t="s">
        <v>55</v>
      </c>
      <c r="D491" t="s">
        <v>56</v>
      </c>
      <c r="E491" t="s">
        <v>59</v>
      </c>
      <c r="F491" s="14">
        <v>28402927</v>
      </c>
      <c r="G491" s="14">
        <v>28402927</v>
      </c>
      <c r="H491">
        <f t="shared" si="14"/>
        <v>0</v>
      </c>
      <c r="I491" s="20">
        <f t="shared" si="15"/>
        <v>43862</v>
      </c>
    </row>
    <row r="492" spans="1:9" x14ac:dyDescent="0.2">
      <c r="A492">
        <v>2020</v>
      </c>
      <c r="B492">
        <v>2</v>
      </c>
      <c r="C492" t="s">
        <v>55</v>
      </c>
      <c r="D492" t="s">
        <v>56</v>
      </c>
      <c r="E492" t="s">
        <v>58</v>
      </c>
      <c r="F492" s="14">
        <v>5519687</v>
      </c>
      <c r="G492" s="14">
        <v>5519687</v>
      </c>
      <c r="H492">
        <f t="shared" si="14"/>
        <v>0</v>
      </c>
      <c r="I492" s="20">
        <f t="shared" si="15"/>
        <v>43862</v>
      </c>
    </row>
    <row r="493" spans="1:9" x14ac:dyDescent="0.2">
      <c r="A493">
        <v>2020</v>
      </c>
      <c r="B493">
        <v>2</v>
      </c>
      <c r="C493" t="s">
        <v>64</v>
      </c>
      <c r="D493" t="s">
        <v>56</v>
      </c>
      <c r="E493" t="s">
        <v>58</v>
      </c>
      <c r="F493" s="14">
        <v>2092169</v>
      </c>
      <c r="G493" s="14">
        <v>2092169</v>
      </c>
      <c r="H493">
        <f t="shared" si="14"/>
        <v>0</v>
      </c>
      <c r="I493" s="20">
        <f t="shared" si="15"/>
        <v>43862</v>
      </c>
    </row>
    <row r="494" spans="1:9" x14ac:dyDescent="0.2">
      <c r="A494">
        <v>2020</v>
      </c>
      <c r="B494">
        <v>2</v>
      </c>
      <c r="C494" t="s">
        <v>64</v>
      </c>
      <c r="D494" t="s">
        <v>56</v>
      </c>
      <c r="E494" t="s">
        <v>59</v>
      </c>
      <c r="F494" s="14">
        <v>819385</v>
      </c>
      <c r="G494" s="14">
        <v>819385</v>
      </c>
      <c r="H494">
        <f t="shared" si="14"/>
        <v>0</v>
      </c>
      <c r="I494" s="20">
        <f t="shared" si="15"/>
        <v>43862</v>
      </c>
    </row>
    <row r="495" spans="1:9" x14ac:dyDescent="0.2">
      <c r="A495">
        <v>2020</v>
      </c>
      <c r="B495">
        <v>2</v>
      </c>
      <c r="C495" t="s">
        <v>55</v>
      </c>
      <c r="D495" t="s">
        <v>56</v>
      </c>
      <c r="E495" t="s">
        <v>57</v>
      </c>
      <c r="F495" s="14">
        <v>188014</v>
      </c>
      <c r="G495" s="14">
        <v>188014</v>
      </c>
      <c r="H495">
        <f t="shared" si="14"/>
        <v>0</v>
      </c>
      <c r="I495" s="20">
        <f t="shared" si="15"/>
        <v>43862</v>
      </c>
    </row>
    <row r="496" spans="1:9" x14ac:dyDescent="0.2">
      <c r="A496">
        <v>2020</v>
      </c>
      <c r="B496">
        <v>2</v>
      </c>
      <c r="C496" t="s">
        <v>55</v>
      </c>
      <c r="D496" t="s">
        <v>60</v>
      </c>
      <c r="E496" t="s">
        <v>61</v>
      </c>
      <c r="F496" s="14">
        <v>192051881</v>
      </c>
      <c r="G496" s="14">
        <v>128033003</v>
      </c>
      <c r="H496">
        <f t="shared" si="14"/>
        <v>0</v>
      </c>
      <c r="I496" s="20">
        <f t="shared" si="15"/>
        <v>43862</v>
      </c>
    </row>
    <row r="497" spans="1:9" x14ac:dyDescent="0.2">
      <c r="A497">
        <v>2020</v>
      </c>
      <c r="B497">
        <v>2</v>
      </c>
      <c r="C497" t="s">
        <v>55</v>
      </c>
      <c r="D497" t="s">
        <v>60</v>
      </c>
      <c r="E497" t="s">
        <v>63</v>
      </c>
      <c r="F497" s="14">
        <v>57711396</v>
      </c>
      <c r="G497" s="14">
        <v>33947857</v>
      </c>
      <c r="H497">
        <f t="shared" si="14"/>
        <v>0</v>
      </c>
      <c r="I497" s="20">
        <f t="shared" si="15"/>
        <v>43862</v>
      </c>
    </row>
    <row r="498" spans="1:9" x14ac:dyDescent="0.2">
      <c r="A498">
        <v>2020</v>
      </c>
      <c r="B498">
        <v>2</v>
      </c>
      <c r="C498" t="s">
        <v>62</v>
      </c>
      <c r="D498" t="s">
        <v>60</v>
      </c>
      <c r="E498" t="s">
        <v>63</v>
      </c>
      <c r="F498" s="14">
        <v>48231971</v>
      </c>
      <c r="G498" s="14">
        <v>28371747</v>
      </c>
      <c r="H498">
        <f t="shared" si="14"/>
        <v>0</v>
      </c>
      <c r="I498" s="20">
        <f t="shared" si="15"/>
        <v>43862</v>
      </c>
    </row>
    <row r="499" spans="1:9" x14ac:dyDescent="0.2">
      <c r="A499">
        <v>2020</v>
      </c>
      <c r="B499">
        <v>2</v>
      </c>
      <c r="C499" t="s">
        <v>64</v>
      </c>
      <c r="D499" t="s">
        <v>60</v>
      </c>
      <c r="E499" t="s">
        <v>61</v>
      </c>
      <c r="F499" s="14">
        <v>17200392</v>
      </c>
      <c r="G499" s="14">
        <v>11466902</v>
      </c>
      <c r="H499">
        <f t="shared" si="14"/>
        <v>0</v>
      </c>
      <c r="I499" s="20">
        <f t="shared" si="15"/>
        <v>43862</v>
      </c>
    </row>
    <row r="500" spans="1:9" x14ac:dyDescent="0.2">
      <c r="A500">
        <v>2020</v>
      </c>
      <c r="B500">
        <v>2</v>
      </c>
      <c r="C500" t="s">
        <v>64</v>
      </c>
      <c r="D500" t="s">
        <v>66</v>
      </c>
      <c r="E500" t="s">
        <v>68</v>
      </c>
      <c r="F500" s="14">
        <v>12396799</v>
      </c>
      <c r="G500" s="14">
        <v>12396799</v>
      </c>
      <c r="H500">
        <f t="shared" si="14"/>
        <v>0</v>
      </c>
      <c r="I500" s="20">
        <f t="shared" si="15"/>
        <v>43862</v>
      </c>
    </row>
    <row r="501" spans="1:9" x14ac:dyDescent="0.2">
      <c r="A501">
        <v>2020</v>
      </c>
      <c r="B501">
        <v>2</v>
      </c>
      <c r="C501" t="s">
        <v>55</v>
      </c>
      <c r="D501" t="s">
        <v>66</v>
      </c>
      <c r="E501" t="s">
        <v>63</v>
      </c>
      <c r="F501" s="14">
        <v>5699775</v>
      </c>
      <c r="G501" s="14">
        <v>3352809</v>
      </c>
      <c r="H501">
        <f t="shared" si="14"/>
        <v>0</v>
      </c>
      <c r="I501" s="20">
        <f t="shared" si="15"/>
        <v>43862</v>
      </c>
    </row>
    <row r="502" spans="1:9" x14ac:dyDescent="0.2">
      <c r="A502">
        <v>2020</v>
      </c>
      <c r="B502">
        <v>2</v>
      </c>
      <c r="C502" t="s">
        <v>55</v>
      </c>
      <c r="D502" t="s">
        <v>66</v>
      </c>
      <c r="E502" t="s">
        <v>67</v>
      </c>
      <c r="F502" s="14">
        <v>2742611</v>
      </c>
      <c r="G502" s="14">
        <v>1828407</v>
      </c>
      <c r="H502">
        <f t="shared" si="14"/>
        <v>0</v>
      </c>
      <c r="I502" s="20">
        <f t="shared" si="15"/>
        <v>43862</v>
      </c>
    </row>
    <row r="503" spans="1:9" x14ac:dyDescent="0.2">
      <c r="A503">
        <v>2020</v>
      </c>
      <c r="B503">
        <v>2</v>
      </c>
      <c r="C503" t="s">
        <v>55</v>
      </c>
      <c r="D503" t="s">
        <v>66</v>
      </c>
      <c r="E503" t="s">
        <v>68</v>
      </c>
      <c r="F503" s="14">
        <v>1782835</v>
      </c>
      <c r="G503" s="14">
        <v>1782835</v>
      </c>
      <c r="H503">
        <f t="shared" si="14"/>
        <v>0</v>
      </c>
      <c r="I503" s="20">
        <f t="shared" si="15"/>
        <v>43862</v>
      </c>
    </row>
    <row r="504" spans="1:9" x14ac:dyDescent="0.2">
      <c r="A504">
        <v>2020</v>
      </c>
      <c r="B504">
        <v>2</v>
      </c>
      <c r="C504" t="s">
        <v>55</v>
      </c>
      <c r="D504" t="s">
        <v>66</v>
      </c>
      <c r="E504" t="s">
        <v>75</v>
      </c>
      <c r="F504" s="14">
        <v>385855</v>
      </c>
      <c r="G504" s="14">
        <v>275611</v>
      </c>
      <c r="H504">
        <f t="shared" si="14"/>
        <v>0</v>
      </c>
      <c r="I504" s="20">
        <f t="shared" si="15"/>
        <v>43862</v>
      </c>
    </row>
    <row r="505" spans="1:9" x14ac:dyDescent="0.2">
      <c r="A505">
        <v>2020</v>
      </c>
      <c r="B505">
        <v>2</v>
      </c>
      <c r="C505" t="s">
        <v>55</v>
      </c>
      <c r="D505" t="s">
        <v>66</v>
      </c>
      <c r="E505" t="s">
        <v>69</v>
      </c>
      <c r="F505" s="14">
        <v>324044</v>
      </c>
      <c r="G505" s="14">
        <v>202527</v>
      </c>
      <c r="H505">
        <f t="shared" si="14"/>
        <v>0</v>
      </c>
      <c r="I505" s="20">
        <f t="shared" si="15"/>
        <v>43862</v>
      </c>
    </row>
    <row r="506" spans="1:9" x14ac:dyDescent="0.2">
      <c r="A506">
        <v>2020</v>
      </c>
      <c r="B506">
        <v>2</v>
      </c>
      <c r="C506" t="s">
        <v>55</v>
      </c>
      <c r="D506" t="s">
        <v>70</v>
      </c>
      <c r="E506" t="s">
        <v>68</v>
      </c>
      <c r="F506" s="14">
        <v>1141726932</v>
      </c>
      <c r="G506" s="14">
        <v>1141726932</v>
      </c>
      <c r="H506">
        <f t="shared" si="14"/>
        <v>0</v>
      </c>
      <c r="I506" s="20">
        <f t="shared" si="15"/>
        <v>43862</v>
      </c>
    </row>
    <row r="507" spans="1:9" x14ac:dyDescent="0.2">
      <c r="A507">
        <v>2020</v>
      </c>
      <c r="B507">
        <v>2</v>
      </c>
      <c r="C507" t="s">
        <v>62</v>
      </c>
      <c r="D507" t="s">
        <v>70</v>
      </c>
      <c r="E507" t="s">
        <v>63</v>
      </c>
      <c r="F507" s="14">
        <v>20901111</v>
      </c>
      <c r="G507" s="14">
        <v>12294771</v>
      </c>
      <c r="H507">
        <f t="shared" si="14"/>
        <v>0</v>
      </c>
      <c r="I507" s="20">
        <f t="shared" si="15"/>
        <v>43862</v>
      </c>
    </row>
    <row r="508" spans="1:9" x14ac:dyDescent="0.2">
      <c r="A508">
        <v>2020</v>
      </c>
      <c r="B508">
        <v>2</v>
      </c>
      <c r="C508" t="s">
        <v>64</v>
      </c>
      <c r="D508" t="s">
        <v>70</v>
      </c>
      <c r="E508" t="s">
        <v>68</v>
      </c>
      <c r="F508" s="14">
        <v>1019832</v>
      </c>
      <c r="G508" s="14">
        <v>1019832</v>
      </c>
      <c r="H508">
        <f t="shared" si="14"/>
        <v>0</v>
      </c>
      <c r="I508" s="20">
        <f t="shared" si="15"/>
        <v>43862</v>
      </c>
    </row>
    <row r="509" spans="1:9" x14ac:dyDescent="0.2">
      <c r="A509">
        <v>2020</v>
      </c>
      <c r="B509">
        <v>3</v>
      </c>
      <c r="C509" t="s">
        <v>55</v>
      </c>
      <c r="D509" t="s">
        <v>56</v>
      </c>
      <c r="E509" t="s">
        <v>59</v>
      </c>
      <c r="F509" s="14">
        <v>26435294</v>
      </c>
      <c r="G509" s="14">
        <v>26435294</v>
      </c>
      <c r="H509">
        <f t="shared" si="14"/>
        <v>0</v>
      </c>
      <c r="I509" s="20">
        <f t="shared" si="15"/>
        <v>43891</v>
      </c>
    </row>
    <row r="510" spans="1:9" x14ac:dyDescent="0.2">
      <c r="A510">
        <v>2020</v>
      </c>
      <c r="B510">
        <v>3</v>
      </c>
      <c r="C510" t="s">
        <v>55</v>
      </c>
      <c r="D510" t="s">
        <v>56</v>
      </c>
      <c r="E510" t="s">
        <v>58</v>
      </c>
      <c r="F510" s="14">
        <v>5444113</v>
      </c>
      <c r="G510" s="14">
        <v>5444113</v>
      </c>
      <c r="H510">
        <f t="shared" si="14"/>
        <v>0</v>
      </c>
      <c r="I510" s="20">
        <f t="shared" si="15"/>
        <v>43891</v>
      </c>
    </row>
    <row r="511" spans="1:9" x14ac:dyDescent="0.2">
      <c r="A511">
        <v>2020</v>
      </c>
      <c r="B511">
        <v>3</v>
      </c>
      <c r="C511" t="s">
        <v>64</v>
      </c>
      <c r="D511" t="s">
        <v>56</v>
      </c>
      <c r="E511" t="s">
        <v>58</v>
      </c>
      <c r="F511" s="14">
        <v>1887657</v>
      </c>
      <c r="G511" s="14">
        <v>1887657</v>
      </c>
      <c r="H511">
        <f t="shared" si="14"/>
        <v>0</v>
      </c>
      <c r="I511" s="20">
        <f t="shared" si="15"/>
        <v>43891</v>
      </c>
    </row>
    <row r="512" spans="1:9" x14ac:dyDescent="0.2">
      <c r="A512">
        <v>2020</v>
      </c>
      <c r="B512">
        <v>3</v>
      </c>
      <c r="C512" t="s">
        <v>64</v>
      </c>
      <c r="D512" t="s">
        <v>56</v>
      </c>
      <c r="E512" t="s">
        <v>59</v>
      </c>
      <c r="F512" s="14">
        <v>782326</v>
      </c>
      <c r="G512" s="14">
        <v>782326</v>
      </c>
      <c r="H512">
        <f t="shared" si="14"/>
        <v>0</v>
      </c>
      <c r="I512" s="20">
        <f t="shared" si="15"/>
        <v>43891</v>
      </c>
    </row>
    <row r="513" spans="1:9" x14ac:dyDescent="0.2">
      <c r="A513">
        <v>2020</v>
      </c>
      <c r="B513">
        <v>3</v>
      </c>
      <c r="C513" t="s">
        <v>55</v>
      </c>
      <c r="D513" t="s">
        <v>56</v>
      </c>
      <c r="E513" t="s">
        <v>57</v>
      </c>
      <c r="F513" s="14">
        <v>156652</v>
      </c>
      <c r="G513" s="14">
        <v>156652</v>
      </c>
      <c r="H513">
        <f t="shared" si="14"/>
        <v>0</v>
      </c>
      <c r="I513" s="20">
        <f t="shared" si="15"/>
        <v>43891</v>
      </c>
    </row>
    <row r="514" spans="1:9" x14ac:dyDescent="0.2">
      <c r="A514">
        <v>2020</v>
      </c>
      <c r="B514">
        <v>3</v>
      </c>
      <c r="C514" t="s">
        <v>55</v>
      </c>
      <c r="D514" t="s">
        <v>60</v>
      </c>
      <c r="E514" t="s">
        <v>61</v>
      </c>
      <c r="F514" s="14">
        <v>225138790</v>
      </c>
      <c r="G514" s="14">
        <v>150090658</v>
      </c>
      <c r="H514">
        <f t="shared" si="14"/>
        <v>0</v>
      </c>
      <c r="I514" s="20">
        <f t="shared" si="15"/>
        <v>43891</v>
      </c>
    </row>
    <row r="515" spans="1:9" x14ac:dyDescent="0.2">
      <c r="A515">
        <v>2020</v>
      </c>
      <c r="B515">
        <v>3</v>
      </c>
      <c r="C515" t="s">
        <v>55</v>
      </c>
      <c r="D515" t="s">
        <v>60</v>
      </c>
      <c r="E515" t="s">
        <v>63</v>
      </c>
      <c r="F515" s="14">
        <v>70696877</v>
      </c>
      <c r="G515" s="14">
        <v>41586367</v>
      </c>
      <c r="H515">
        <f t="shared" ref="H515:H578" si="16">--ISNUMBER(SEARCH("Jet Fuel",E515))</f>
        <v>0</v>
      </c>
      <c r="I515" s="20">
        <f t="shared" ref="I515:I578" si="17">DATE(A515,B515,1)</f>
        <v>43891</v>
      </c>
    </row>
    <row r="516" spans="1:9" x14ac:dyDescent="0.2">
      <c r="A516">
        <v>2020</v>
      </c>
      <c r="B516">
        <v>3</v>
      </c>
      <c r="C516" t="s">
        <v>62</v>
      </c>
      <c r="D516" t="s">
        <v>60</v>
      </c>
      <c r="E516" t="s">
        <v>63</v>
      </c>
      <c r="F516" s="14">
        <v>47602533</v>
      </c>
      <c r="G516" s="14">
        <v>28001490</v>
      </c>
      <c r="H516">
        <f t="shared" si="16"/>
        <v>0</v>
      </c>
      <c r="I516" s="20">
        <f t="shared" si="17"/>
        <v>43891</v>
      </c>
    </row>
    <row r="517" spans="1:9" x14ac:dyDescent="0.2">
      <c r="A517">
        <v>2020</v>
      </c>
      <c r="B517">
        <v>3</v>
      </c>
      <c r="C517" t="s">
        <v>64</v>
      </c>
      <c r="D517" t="s">
        <v>60</v>
      </c>
      <c r="E517" t="s">
        <v>61</v>
      </c>
      <c r="F517" s="14">
        <v>27865918</v>
      </c>
      <c r="G517" s="14">
        <v>18577254</v>
      </c>
      <c r="H517">
        <f t="shared" si="16"/>
        <v>0</v>
      </c>
      <c r="I517" s="20">
        <f t="shared" si="17"/>
        <v>43891</v>
      </c>
    </row>
    <row r="518" spans="1:9" x14ac:dyDescent="0.2">
      <c r="A518">
        <v>2020</v>
      </c>
      <c r="B518">
        <v>3</v>
      </c>
      <c r="C518" t="s">
        <v>55</v>
      </c>
      <c r="D518" t="s">
        <v>60</v>
      </c>
      <c r="E518" t="s">
        <v>65</v>
      </c>
      <c r="F518" s="14">
        <v>449322</v>
      </c>
      <c r="G518" s="14">
        <v>280826</v>
      </c>
      <c r="H518">
        <f t="shared" si="16"/>
        <v>1</v>
      </c>
      <c r="I518" s="20">
        <f t="shared" si="17"/>
        <v>43891</v>
      </c>
    </row>
    <row r="519" spans="1:9" x14ac:dyDescent="0.2">
      <c r="A519">
        <v>2020</v>
      </c>
      <c r="B519">
        <v>3</v>
      </c>
      <c r="C519" t="s">
        <v>55</v>
      </c>
      <c r="D519" t="s">
        <v>60</v>
      </c>
      <c r="E519" t="s">
        <v>76</v>
      </c>
      <c r="F519" s="14">
        <v>124373</v>
      </c>
      <c r="G519" s="14">
        <v>77733</v>
      </c>
      <c r="H519">
        <f t="shared" si="16"/>
        <v>0</v>
      </c>
      <c r="I519" s="20">
        <f t="shared" si="17"/>
        <v>43891</v>
      </c>
    </row>
    <row r="520" spans="1:9" x14ac:dyDescent="0.2">
      <c r="A520">
        <v>2020</v>
      </c>
      <c r="B520">
        <v>3</v>
      </c>
      <c r="C520" t="s">
        <v>64</v>
      </c>
      <c r="D520" t="s">
        <v>66</v>
      </c>
      <c r="E520" t="s">
        <v>68</v>
      </c>
      <c r="F520" s="14">
        <v>24356072</v>
      </c>
      <c r="G520" s="14">
        <v>24356072</v>
      </c>
      <c r="H520">
        <f t="shared" si="16"/>
        <v>0</v>
      </c>
      <c r="I520" s="20">
        <f t="shared" si="17"/>
        <v>43891</v>
      </c>
    </row>
    <row r="521" spans="1:9" x14ac:dyDescent="0.2">
      <c r="A521">
        <v>2020</v>
      </c>
      <c r="B521">
        <v>3</v>
      </c>
      <c r="C521" t="s">
        <v>55</v>
      </c>
      <c r="D521" t="s">
        <v>66</v>
      </c>
      <c r="E521" t="s">
        <v>63</v>
      </c>
      <c r="F521" s="14">
        <v>6056567</v>
      </c>
      <c r="G521" s="14">
        <v>3562685</v>
      </c>
      <c r="H521">
        <f t="shared" si="16"/>
        <v>0</v>
      </c>
      <c r="I521" s="20">
        <f t="shared" si="17"/>
        <v>43891</v>
      </c>
    </row>
    <row r="522" spans="1:9" x14ac:dyDescent="0.2">
      <c r="A522">
        <v>2020</v>
      </c>
      <c r="B522">
        <v>3</v>
      </c>
      <c r="C522" t="s">
        <v>55</v>
      </c>
      <c r="D522" t="s">
        <v>66</v>
      </c>
      <c r="E522" t="s">
        <v>67</v>
      </c>
      <c r="F522" s="14">
        <v>2825016</v>
      </c>
      <c r="G522" s="14">
        <v>1883344</v>
      </c>
      <c r="H522">
        <f t="shared" si="16"/>
        <v>0</v>
      </c>
      <c r="I522" s="20">
        <f t="shared" si="17"/>
        <v>43891</v>
      </c>
    </row>
    <row r="523" spans="1:9" x14ac:dyDescent="0.2">
      <c r="A523">
        <v>2020</v>
      </c>
      <c r="B523">
        <v>3</v>
      </c>
      <c r="C523" t="s">
        <v>55</v>
      </c>
      <c r="D523" t="s">
        <v>66</v>
      </c>
      <c r="E523" t="s">
        <v>68</v>
      </c>
      <c r="F523" s="14">
        <v>2067683</v>
      </c>
      <c r="G523" s="14">
        <v>2067683</v>
      </c>
      <c r="H523">
        <f t="shared" si="16"/>
        <v>0</v>
      </c>
      <c r="I523" s="20">
        <f t="shared" si="17"/>
        <v>43891</v>
      </c>
    </row>
    <row r="524" spans="1:9" x14ac:dyDescent="0.2">
      <c r="A524">
        <v>2020</v>
      </c>
      <c r="B524">
        <v>3</v>
      </c>
      <c r="C524" t="s">
        <v>55</v>
      </c>
      <c r="D524" t="s">
        <v>66</v>
      </c>
      <c r="E524" t="s">
        <v>74</v>
      </c>
      <c r="F524" s="14">
        <v>691549</v>
      </c>
      <c r="G524" s="14">
        <v>628681</v>
      </c>
      <c r="H524">
        <f t="shared" si="16"/>
        <v>0</v>
      </c>
      <c r="I524" s="20">
        <f t="shared" si="17"/>
        <v>43891</v>
      </c>
    </row>
    <row r="525" spans="1:9" x14ac:dyDescent="0.2">
      <c r="A525">
        <v>2020</v>
      </c>
      <c r="B525">
        <v>3</v>
      </c>
      <c r="C525" t="s">
        <v>55</v>
      </c>
      <c r="D525" t="s">
        <v>66</v>
      </c>
      <c r="E525" t="s">
        <v>69</v>
      </c>
      <c r="F525" s="14">
        <v>413954</v>
      </c>
      <c r="G525" s="14">
        <v>258720</v>
      </c>
      <c r="H525">
        <f t="shared" si="16"/>
        <v>0</v>
      </c>
      <c r="I525" s="20">
        <f t="shared" si="17"/>
        <v>43891</v>
      </c>
    </row>
    <row r="526" spans="1:9" x14ac:dyDescent="0.2">
      <c r="A526">
        <v>2020</v>
      </c>
      <c r="B526">
        <v>3</v>
      </c>
      <c r="C526" t="s">
        <v>55</v>
      </c>
      <c r="D526" t="s">
        <v>66</v>
      </c>
      <c r="E526" t="s">
        <v>75</v>
      </c>
      <c r="F526" s="14">
        <v>263882</v>
      </c>
      <c r="G526" s="14">
        <v>188487</v>
      </c>
      <c r="H526">
        <f t="shared" si="16"/>
        <v>0</v>
      </c>
      <c r="I526" s="20">
        <f t="shared" si="17"/>
        <v>43891</v>
      </c>
    </row>
    <row r="527" spans="1:9" x14ac:dyDescent="0.2">
      <c r="A527">
        <v>2020</v>
      </c>
      <c r="B527">
        <v>3</v>
      </c>
      <c r="C527" t="s">
        <v>55</v>
      </c>
      <c r="D527" t="s">
        <v>70</v>
      </c>
      <c r="E527" t="s">
        <v>68</v>
      </c>
      <c r="F527" s="14">
        <v>1112193117</v>
      </c>
      <c r="G527" s="14">
        <v>1112193117</v>
      </c>
      <c r="H527">
        <f t="shared" si="16"/>
        <v>0</v>
      </c>
      <c r="I527" s="20">
        <f t="shared" si="17"/>
        <v>43891</v>
      </c>
    </row>
    <row r="528" spans="1:9" x14ac:dyDescent="0.2">
      <c r="A528">
        <v>2020</v>
      </c>
      <c r="B528">
        <v>3</v>
      </c>
      <c r="C528" t="s">
        <v>62</v>
      </c>
      <c r="D528" t="s">
        <v>70</v>
      </c>
      <c r="E528" t="s">
        <v>63</v>
      </c>
      <c r="F528" s="14">
        <v>26680083</v>
      </c>
      <c r="G528" s="14">
        <v>15694167</v>
      </c>
      <c r="H528">
        <f t="shared" si="16"/>
        <v>0</v>
      </c>
      <c r="I528" s="20">
        <f t="shared" si="17"/>
        <v>43891</v>
      </c>
    </row>
    <row r="529" spans="1:9" x14ac:dyDescent="0.2">
      <c r="A529">
        <v>2020</v>
      </c>
      <c r="B529">
        <v>3</v>
      </c>
      <c r="C529" t="s">
        <v>64</v>
      </c>
      <c r="D529" t="s">
        <v>70</v>
      </c>
      <c r="E529" t="s">
        <v>68</v>
      </c>
      <c r="F529" s="14">
        <v>865092</v>
      </c>
      <c r="G529" s="14">
        <v>865092</v>
      </c>
      <c r="H529">
        <f t="shared" si="16"/>
        <v>0</v>
      </c>
      <c r="I529" s="20">
        <f t="shared" si="17"/>
        <v>43891</v>
      </c>
    </row>
    <row r="530" spans="1:9" x14ac:dyDescent="0.2">
      <c r="A530">
        <v>2020</v>
      </c>
      <c r="B530">
        <v>4</v>
      </c>
      <c r="C530" t="s">
        <v>55</v>
      </c>
      <c r="D530" t="s">
        <v>56</v>
      </c>
      <c r="E530" t="s">
        <v>59</v>
      </c>
      <c r="F530" s="14">
        <v>31277485</v>
      </c>
      <c r="G530" s="14">
        <v>31277485</v>
      </c>
      <c r="H530">
        <f t="shared" si="16"/>
        <v>0</v>
      </c>
      <c r="I530" s="20">
        <f t="shared" si="17"/>
        <v>43922</v>
      </c>
    </row>
    <row r="531" spans="1:9" x14ac:dyDescent="0.2">
      <c r="A531">
        <v>2020</v>
      </c>
      <c r="B531">
        <v>4</v>
      </c>
      <c r="C531" t="s">
        <v>55</v>
      </c>
      <c r="D531" t="s">
        <v>56</v>
      </c>
      <c r="E531" t="s">
        <v>58</v>
      </c>
      <c r="F531" s="14">
        <v>6329732</v>
      </c>
      <c r="G531" s="14">
        <v>6329732</v>
      </c>
      <c r="H531">
        <f t="shared" si="16"/>
        <v>0</v>
      </c>
      <c r="I531" s="20">
        <f t="shared" si="17"/>
        <v>43922</v>
      </c>
    </row>
    <row r="532" spans="1:9" x14ac:dyDescent="0.2">
      <c r="A532">
        <v>2020</v>
      </c>
      <c r="B532">
        <v>4</v>
      </c>
      <c r="C532" t="s">
        <v>64</v>
      </c>
      <c r="D532" t="s">
        <v>56</v>
      </c>
      <c r="E532" t="s">
        <v>58</v>
      </c>
      <c r="F532" s="14">
        <v>2060775</v>
      </c>
      <c r="G532" s="14">
        <v>2060775</v>
      </c>
      <c r="H532">
        <f t="shared" si="16"/>
        <v>0</v>
      </c>
      <c r="I532" s="20">
        <f t="shared" si="17"/>
        <v>43922</v>
      </c>
    </row>
    <row r="533" spans="1:9" x14ac:dyDescent="0.2">
      <c r="A533">
        <v>2020</v>
      </c>
      <c r="B533">
        <v>4</v>
      </c>
      <c r="C533" t="s">
        <v>64</v>
      </c>
      <c r="D533" t="s">
        <v>56</v>
      </c>
      <c r="E533" t="s">
        <v>59</v>
      </c>
      <c r="F533" s="14">
        <v>847999</v>
      </c>
      <c r="G533" s="14">
        <v>847999</v>
      </c>
      <c r="H533">
        <f t="shared" si="16"/>
        <v>0</v>
      </c>
      <c r="I533" s="20">
        <f t="shared" si="17"/>
        <v>43922</v>
      </c>
    </row>
    <row r="534" spans="1:9" x14ac:dyDescent="0.2">
      <c r="A534">
        <v>2020</v>
      </c>
      <c r="B534">
        <v>4</v>
      </c>
      <c r="C534" t="s">
        <v>55</v>
      </c>
      <c r="D534" t="s">
        <v>56</v>
      </c>
      <c r="E534" t="s">
        <v>57</v>
      </c>
      <c r="F534" s="14">
        <v>203361</v>
      </c>
      <c r="G534" s="14">
        <v>203361</v>
      </c>
      <c r="H534">
        <f t="shared" si="16"/>
        <v>0</v>
      </c>
      <c r="I534" s="20">
        <f t="shared" si="17"/>
        <v>43922</v>
      </c>
    </row>
    <row r="535" spans="1:9" x14ac:dyDescent="0.2">
      <c r="A535">
        <v>2020</v>
      </c>
      <c r="B535">
        <v>4</v>
      </c>
      <c r="C535" t="s">
        <v>55</v>
      </c>
      <c r="D535" t="s">
        <v>60</v>
      </c>
      <c r="E535" t="s">
        <v>61</v>
      </c>
      <c r="F535" s="14">
        <v>224037385</v>
      </c>
      <c r="G535" s="14">
        <v>149356126</v>
      </c>
      <c r="H535">
        <f t="shared" si="16"/>
        <v>0</v>
      </c>
      <c r="I535" s="20">
        <f t="shared" si="17"/>
        <v>43922</v>
      </c>
    </row>
    <row r="536" spans="1:9" x14ac:dyDescent="0.2">
      <c r="A536">
        <v>2020</v>
      </c>
      <c r="B536">
        <v>4</v>
      </c>
      <c r="C536" t="s">
        <v>55</v>
      </c>
      <c r="D536" t="s">
        <v>60</v>
      </c>
      <c r="E536" t="s">
        <v>63</v>
      </c>
      <c r="F536" s="14">
        <v>59498077</v>
      </c>
      <c r="G536" s="14">
        <v>34998849</v>
      </c>
      <c r="H536">
        <f t="shared" si="16"/>
        <v>0</v>
      </c>
      <c r="I536" s="20">
        <f t="shared" si="17"/>
        <v>43922</v>
      </c>
    </row>
    <row r="537" spans="1:9" x14ac:dyDescent="0.2">
      <c r="A537">
        <v>2020</v>
      </c>
      <c r="B537">
        <v>4</v>
      </c>
      <c r="C537" t="s">
        <v>62</v>
      </c>
      <c r="D537" t="s">
        <v>60</v>
      </c>
      <c r="E537" t="s">
        <v>63</v>
      </c>
      <c r="F537" s="14">
        <v>41775652</v>
      </c>
      <c r="G537" s="14">
        <v>24573913</v>
      </c>
      <c r="H537">
        <f t="shared" si="16"/>
        <v>0</v>
      </c>
      <c r="I537" s="20">
        <f t="shared" si="17"/>
        <v>43922</v>
      </c>
    </row>
    <row r="538" spans="1:9" x14ac:dyDescent="0.2">
      <c r="A538">
        <v>2020</v>
      </c>
      <c r="B538">
        <v>4</v>
      </c>
      <c r="C538" t="s">
        <v>64</v>
      </c>
      <c r="D538" t="s">
        <v>60</v>
      </c>
      <c r="E538" t="s">
        <v>61</v>
      </c>
      <c r="F538" s="14">
        <v>28024744</v>
      </c>
      <c r="G538" s="14">
        <v>18683140</v>
      </c>
      <c r="H538">
        <f t="shared" si="16"/>
        <v>0</v>
      </c>
      <c r="I538" s="20">
        <f t="shared" si="17"/>
        <v>43922</v>
      </c>
    </row>
    <row r="539" spans="1:9" x14ac:dyDescent="0.2">
      <c r="A539">
        <v>2020</v>
      </c>
      <c r="B539">
        <v>4</v>
      </c>
      <c r="C539" t="s">
        <v>62</v>
      </c>
      <c r="D539" t="s">
        <v>60</v>
      </c>
      <c r="E539" t="s">
        <v>76</v>
      </c>
      <c r="F539" s="14">
        <v>3513181</v>
      </c>
      <c r="G539" s="14">
        <v>2195738</v>
      </c>
      <c r="H539">
        <f t="shared" si="16"/>
        <v>0</v>
      </c>
      <c r="I539" s="20">
        <f t="shared" si="17"/>
        <v>43922</v>
      </c>
    </row>
    <row r="540" spans="1:9" x14ac:dyDescent="0.2">
      <c r="A540">
        <v>2020</v>
      </c>
      <c r="B540">
        <v>4</v>
      </c>
      <c r="C540" t="s">
        <v>55</v>
      </c>
      <c r="D540" t="s">
        <v>60</v>
      </c>
      <c r="E540" t="s">
        <v>65</v>
      </c>
      <c r="F540" s="14">
        <v>1975107</v>
      </c>
      <c r="G540" s="14">
        <v>1234442</v>
      </c>
      <c r="H540">
        <f t="shared" si="16"/>
        <v>1</v>
      </c>
      <c r="I540" s="20">
        <f t="shared" si="17"/>
        <v>43922</v>
      </c>
    </row>
    <row r="541" spans="1:9" x14ac:dyDescent="0.2">
      <c r="A541">
        <v>2020</v>
      </c>
      <c r="B541">
        <v>4</v>
      </c>
      <c r="C541" t="s">
        <v>55</v>
      </c>
      <c r="D541" t="s">
        <v>60</v>
      </c>
      <c r="E541" t="s">
        <v>76</v>
      </c>
      <c r="F541" s="14">
        <v>892434</v>
      </c>
      <c r="G541" s="14">
        <v>557772</v>
      </c>
      <c r="H541">
        <f t="shared" si="16"/>
        <v>0</v>
      </c>
      <c r="I541" s="20">
        <f t="shared" si="17"/>
        <v>43922</v>
      </c>
    </row>
    <row r="542" spans="1:9" x14ac:dyDescent="0.2">
      <c r="A542">
        <v>2020</v>
      </c>
      <c r="B542">
        <v>4</v>
      </c>
      <c r="C542" t="s">
        <v>55</v>
      </c>
      <c r="D542" t="s">
        <v>66</v>
      </c>
      <c r="E542" t="s">
        <v>63</v>
      </c>
      <c r="F542" s="14">
        <v>5239801</v>
      </c>
      <c r="G542" s="14">
        <v>3082235</v>
      </c>
      <c r="H542">
        <f t="shared" si="16"/>
        <v>0</v>
      </c>
      <c r="I542" s="20">
        <f t="shared" si="17"/>
        <v>43922</v>
      </c>
    </row>
    <row r="543" spans="1:9" x14ac:dyDescent="0.2">
      <c r="A543">
        <v>2020</v>
      </c>
      <c r="B543">
        <v>4</v>
      </c>
      <c r="C543" t="s">
        <v>55</v>
      </c>
      <c r="D543" t="s">
        <v>66</v>
      </c>
      <c r="E543" t="s">
        <v>67</v>
      </c>
      <c r="F543" s="14">
        <v>2319950</v>
      </c>
      <c r="G543" s="14">
        <v>1546633</v>
      </c>
      <c r="H543">
        <f t="shared" si="16"/>
        <v>0</v>
      </c>
      <c r="I543" s="20">
        <f t="shared" si="17"/>
        <v>43922</v>
      </c>
    </row>
    <row r="544" spans="1:9" x14ac:dyDescent="0.2">
      <c r="A544">
        <v>2020</v>
      </c>
      <c r="B544">
        <v>4</v>
      </c>
      <c r="C544" t="s">
        <v>55</v>
      </c>
      <c r="D544" t="s">
        <v>66</v>
      </c>
      <c r="E544" t="s">
        <v>68</v>
      </c>
      <c r="F544" s="14">
        <v>1989362</v>
      </c>
      <c r="G544" s="14">
        <v>1989362</v>
      </c>
      <c r="H544">
        <f t="shared" si="16"/>
        <v>0</v>
      </c>
      <c r="I544" s="20">
        <f t="shared" si="17"/>
        <v>43922</v>
      </c>
    </row>
    <row r="545" spans="1:9" x14ac:dyDescent="0.2">
      <c r="A545">
        <v>2020</v>
      </c>
      <c r="B545">
        <v>4</v>
      </c>
      <c r="C545" t="s">
        <v>55</v>
      </c>
      <c r="D545" t="s">
        <v>66</v>
      </c>
      <c r="E545" t="s">
        <v>75</v>
      </c>
      <c r="F545" s="14">
        <v>403820</v>
      </c>
      <c r="G545" s="14">
        <v>288443</v>
      </c>
      <c r="H545">
        <f t="shared" si="16"/>
        <v>0</v>
      </c>
      <c r="I545" s="20">
        <f t="shared" si="17"/>
        <v>43922</v>
      </c>
    </row>
    <row r="546" spans="1:9" x14ac:dyDescent="0.2">
      <c r="A546">
        <v>2020</v>
      </c>
      <c r="B546">
        <v>4</v>
      </c>
      <c r="C546" t="s">
        <v>55</v>
      </c>
      <c r="D546" t="s">
        <v>66</v>
      </c>
      <c r="E546" t="s">
        <v>69</v>
      </c>
      <c r="F546" s="14">
        <v>319080</v>
      </c>
      <c r="G546" s="14">
        <v>199425</v>
      </c>
      <c r="H546">
        <f t="shared" si="16"/>
        <v>0</v>
      </c>
      <c r="I546" s="20">
        <f t="shared" si="17"/>
        <v>43922</v>
      </c>
    </row>
    <row r="547" spans="1:9" x14ac:dyDescent="0.2">
      <c r="A547">
        <v>2020</v>
      </c>
      <c r="B547">
        <v>4</v>
      </c>
      <c r="C547" t="s">
        <v>55</v>
      </c>
      <c r="D547" t="s">
        <v>66</v>
      </c>
      <c r="E547" t="s">
        <v>59</v>
      </c>
      <c r="F547" s="14">
        <v>8244</v>
      </c>
      <c r="G547" s="14">
        <v>8244</v>
      </c>
      <c r="H547">
        <f t="shared" si="16"/>
        <v>0</v>
      </c>
      <c r="I547" s="20">
        <f t="shared" si="17"/>
        <v>43922</v>
      </c>
    </row>
    <row r="548" spans="1:9" x14ac:dyDescent="0.2">
      <c r="A548">
        <v>2020</v>
      </c>
      <c r="B548">
        <v>4</v>
      </c>
      <c r="C548" t="s">
        <v>55</v>
      </c>
      <c r="D548" t="s">
        <v>70</v>
      </c>
      <c r="E548" t="s">
        <v>68</v>
      </c>
      <c r="F548" s="14">
        <v>628050492</v>
      </c>
      <c r="G548" s="14">
        <v>628050492</v>
      </c>
      <c r="H548">
        <f t="shared" si="16"/>
        <v>0</v>
      </c>
      <c r="I548" s="20">
        <f t="shared" si="17"/>
        <v>43922</v>
      </c>
    </row>
    <row r="549" spans="1:9" x14ac:dyDescent="0.2">
      <c r="A549">
        <v>2020</v>
      </c>
      <c r="B549">
        <v>4</v>
      </c>
      <c r="C549" t="s">
        <v>62</v>
      </c>
      <c r="D549" t="s">
        <v>70</v>
      </c>
      <c r="E549" t="s">
        <v>63</v>
      </c>
      <c r="F549" s="14">
        <v>16268134</v>
      </c>
      <c r="G549" s="14">
        <v>9569491</v>
      </c>
      <c r="H549">
        <f t="shared" si="16"/>
        <v>0</v>
      </c>
      <c r="I549" s="20">
        <f t="shared" si="17"/>
        <v>43922</v>
      </c>
    </row>
    <row r="550" spans="1:9" x14ac:dyDescent="0.2">
      <c r="A550">
        <v>2020</v>
      </c>
      <c r="B550">
        <v>4</v>
      </c>
      <c r="C550" t="s">
        <v>64</v>
      </c>
      <c r="D550" t="s">
        <v>70</v>
      </c>
      <c r="E550" t="s">
        <v>68</v>
      </c>
      <c r="F550" s="14">
        <v>575961</v>
      </c>
      <c r="G550" s="14">
        <v>575961</v>
      </c>
      <c r="H550">
        <f t="shared" si="16"/>
        <v>0</v>
      </c>
      <c r="I550" s="20">
        <f t="shared" si="17"/>
        <v>43922</v>
      </c>
    </row>
    <row r="551" spans="1:9" x14ac:dyDescent="0.2">
      <c r="A551">
        <v>2020</v>
      </c>
      <c r="B551">
        <v>5</v>
      </c>
      <c r="C551" t="s">
        <v>55</v>
      </c>
      <c r="D551" t="s">
        <v>56</v>
      </c>
      <c r="E551" t="s">
        <v>59</v>
      </c>
      <c r="F551" s="14">
        <v>28516201</v>
      </c>
      <c r="G551" s="14">
        <v>28516201</v>
      </c>
      <c r="H551">
        <f t="shared" si="16"/>
        <v>0</v>
      </c>
      <c r="I551" s="20">
        <f t="shared" si="17"/>
        <v>43952</v>
      </c>
    </row>
    <row r="552" spans="1:9" x14ac:dyDescent="0.2">
      <c r="A552">
        <v>2020</v>
      </c>
      <c r="B552">
        <v>5</v>
      </c>
      <c r="C552" t="s">
        <v>55</v>
      </c>
      <c r="D552" t="s">
        <v>56</v>
      </c>
      <c r="E552" t="s">
        <v>58</v>
      </c>
      <c r="F552" s="14">
        <v>6261128</v>
      </c>
      <c r="G552" s="14">
        <v>6261128</v>
      </c>
      <c r="H552">
        <f t="shared" si="16"/>
        <v>0</v>
      </c>
      <c r="I552" s="20">
        <f t="shared" si="17"/>
        <v>43952</v>
      </c>
    </row>
    <row r="553" spans="1:9" x14ac:dyDescent="0.2">
      <c r="A553">
        <v>2020</v>
      </c>
      <c r="B553">
        <v>5</v>
      </c>
      <c r="C553" t="s">
        <v>64</v>
      </c>
      <c r="D553" t="s">
        <v>56</v>
      </c>
      <c r="E553" t="s">
        <v>58</v>
      </c>
      <c r="F553" s="14">
        <v>1925161</v>
      </c>
      <c r="G553" s="14">
        <v>1925161</v>
      </c>
      <c r="H553">
        <f t="shared" si="16"/>
        <v>0</v>
      </c>
      <c r="I553" s="20">
        <f t="shared" si="17"/>
        <v>43952</v>
      </c>
    </row>
    <row r="554" spans="1:9" x14ac:dyDescent="0.2">
      <c r="A554">
        <v>2020</v>
      </c>
      <c r="B554">
        <v>5</v>
      </c>
      <c r="C554" t="s">
        <v>64</v>
      </c>
      <c r="D554" t="s">
        <v>56</v>
      </c>
      <c r="E554" t="s">
        <v>59</v>
      </c>
      <c r="F554" s="14">
        <v>978254</v>
      </c>
      <c r="G554" s="14">
        <v>978254</v>
      </c>
      <c r="H554">
        <f t="shared" si="16"/>
        <v>0</v>
      </c>
      <c r="I554" s="20">
        <f t="shared" si="17"/>
        <v>43952</v>
      </c>
    </row>
    <row r="555" spans="1:9" x14ac:dyDescent="0.2">
      <c r="A555">
        <v>2020</v>
      </c>
      <c r="B555">
        <v>5</v>
      </c>
      <c r="C555" t="s">
        <v>55</v>
      </c>
      <c r="D555" t="s">
        <v>56</v>
      </c>
      <c r="E555" t="s">
        <v>57</v>
      </c>
      <c r="F555" s="14">
        <v>266282</v>
      </c>
      <c r="G555" s="14">
        <v>266282</v>
      </c>
      <c r="H555">
        <f t="shared" si="16"/>
        <v>0</v>
      </c>
      <c r="I555" s="20">
        <f t="shared" si="17"/>
        <v>43952</v>
      </c>
    </row>
    <row r="556" spans="1:9" x14ac:dyDescent="0.2">
      <c r="A556">
        <v>2020</v>
      </c>
      <c r="B556">
        <v>5</v>
      </c>
      <c r="C556" t="s">
        <v>55</v>
      </c>
      <c r="D556" t="s">
        <v>60</v>
      </c>
      <c r="E556" t="s">
        <v>61</v>
      </c>
      <c r="F556" s="14">
        <v>214764440</v>
      </c>
      <c r="G556" s="14">
        <v>143174223</v>
      </c>
      <c r="H556">
        <f t="shared" si="16"/>
        <v>0</v>
      </c>
      <c r="I556" s="20">
        <f t="shared" si="17"/>
        <v>43952</v>
      </c>
    </row>
    <row r="557" spans="1:9" x14ac:dyDescent="0.2">
      <c r="A557">
        <v>2020</v>
      </c>
      <c r="B557">
        <v>5</v>
      </c>
      <c r="C557" t="s">
        <v>55</v>
      </c>
      <c r="D557" t="s">
        <v>60</v>
      </c>
      <c r="E557" t="s">
        <v>63</v>
      </c>
      <c r="F557" s="14">
        <v>71680658</v>
      </c>
      <c r="G557" s="14">
        <v>42165050</v>
      </c>
      <c r="H557">
        <f t="shared" si="16"/>
        <v>0</v>
      </c>
      <c r="I557" s="20">
        <f t="shared" si="17"/>
        <v>43952</v>
      </c>
    </row>
    <row r="558" spans="1:9" x14ac:dyDescent="0.2">
      <c r="A558">
        <v>2020</v>
      </c>
      <c r="B558">
        <v>5</v>
      </c>
      <c r="C558" t="s">
        <v>62</v>
      </c>
      <c r="D558" t="s">
        <v>60</v>
      </c>
      <c r="E558" t="s">
        <v>63</v>
      </c>
      <c r="F558" s="14">
        <v>55143013</v>
      </c>
      <c r="G558" s="14">
        <v>32437067</v>
      </c>
      <c r="H558">
        <f t="shared" si="16"/>
        <v>0</v>
      </c>
      <c r="I558" s="20">
        <f t="shared" si="17"/>
        <v>43952</v>
      </c>
    </row>
    <row r="559" spans="1:9" x14ac:dyDescent="0.2">
      <c r="A559">
        <v>2020</v>
      </c>
      <c r="B559">
        <v>5</v>
      </c>
      <c r="C559" t="s">
        <v>64</v>
      </c>
      <c r="D559" t="s">
        <v>60</v>
      </c>
      <c r="E559" t="s">
        <v>61</v>
      </c>
      <c r="F559" s="14">
        <v>27970027</v>
      </c>
      <c r="G559" s="14">
        <v>18646666</v>
      </c>
      <c r="H559">
        <f t="shared" si="16"/>
        <v>0</v>
      </c>
      <c r="I559" s="20">
        <f t="shared" si="17"/>
        <v>43952</v>
      </c>
    </row>
    <row r="560" spans="1:9" x14ac:dyDescent="0.2">
      <c r="A560">
        <v>2020</v>
      </c>
      <c r="B560">
        <v>5</v>
      </c>
      <c r="C560" t="s">
        <v>55</v>
      </c>
      <c r="D560" t="s">
        <v>66</v>
      </c>
      <c r="E560" t="s">
        <v>63</v>
      </c>
      <c r="F560" s="14">
        <v>7235406</v>
      </c>
      <c r="G560" s="14">
        <v>4256121</v>
      </c>
      <c r="H560">
        <f t="shared" si="16"/>
        <v>0</v>
      </c>
      <c r="I560" s="20">
        <f t="shared" si="17"/>
        <v>43952</v>
      </c>
    </row>
    <row r="561" spans="1:9" x14ac:dyDescent="0.2">
      <c r="A561">
        <v>2020</v>
      </c>
      <c r="B561">
        <v>5</v>
      </c>
      <c r="C561" t="s">
        <v>55</v>
      </c>
      <c r="D561" t="s">
        <v>66</v>
      </c>
      <c r="E561" t="s">
        <v>67</v>
      </c>
      <c r="F561" s="14">
        <v>2743945</v>
      </c>
      <c r="G561" s="14">
        <v>1829296</v>
      </c>
      <c r="H561">
        <f t="shared" si="16"/>
        <v>0</v>
      </c>
      <c r="I561" s="20">
        <f t="shared" si="17"/>
        <v>43952</v>
      </c>
    </row>
    <row r="562" spans="1:9" x14ac:dyDescent="0.2">
      <c r="A562">
        <v>2020</v>
      </c>
      <c r="B562">
        <v>5</v>
      </c>
      <c r="C562" t="s">
        <v>55</v>
      </c>
      <c r="D562" t="s">
        <v>66</v>
      </c>
      <c r="E562" t="s">
        <v>68</v>
      </c>
      <c r="F562" s="14">
        <v>1967105</v>
      </c>
      <c r="G562" s="14">
        <v>1967105</v>
      </c>
      <c r="H562">
        <f t="shared" si="16"/>
        <v>0</v>
      </c>
      <c r="I562" s="20">
        <f t="shared" si="17"/>
        <v>43952</v>
      </c>
    </row>
    <row r="563" spans="1:9" x14ac:dyDescent="0.2">
      <c r="A563">
        <v>2020</v>
      </c>
      <c r="B563">
        <v>5</v>
      </c>
      <c r="C563" t="s">
        <v>55</v>
      </c>
      <c r="D563" t="s">
        <v>66</v>
      </c>
      <c r="E563" t="s">
        <v>74</v>
      </c>
      <c r="F563" s="14">
        <v>413824</v>
      </c>
      <c r="G563" s="14">
        <v>376204</v>
      </c>
      <c r="H563">
        <f t="shared" si="16"/>
        <v>0</v>
      </c>
      <c r="I563" s="20">
        <f t="shared" si="17"/>
        <v>43952</v>
      </c>
    </row>
    <row r="564" spans="1:9" x14ac:dyDescent="0.2">
      <c r="A564">
        <v>2020</v>
      </c>
      <c r="B564">
        <v>5</v>
      </c>
      <c r="C564" t="s">
        <v>55</v>
      </c>
      <c r="D564" t="s">
        <v>66</v>
      </c>
      <c r="E564" t="s">
        <v>69</v>
      </c>
      <c r="F564" s="14">
        <v>231881</v>
      </c>
      <c r="G564" s="14">
        <v>144926</v>
      </c>
      <c r="H564">
        <f t="shared" si="16"/>
        <v>0</v>
      </c>
      <c r="I564" s="20">
        <f t="shared" si="17"/>
        <v>43952</v>
      </c>
    </row>
    <row r="565" spans="1:9" x14ac:dyDescent="0.2">
      <c r="A565">
        <v>2020</v>
      </c>
      <c r="B565">
        <v>5</v>
      </c>
      <c r="C565" t="s">
        <v>55</v>
      </c>
      <c r="D565" t="s">
        <v>66</v>
      </c>
      <c r="E565" t="s">
        <v>75</v>
      </c>
      <c r="F565" s="14">
        <v>107435</v>
      </c>
      <c r="G565" s="14">
        <v>76739</v>
      </c>
      <c r="H565">
        <f t="shared" si="16"/>
        <v>0</v>
      </c>
      <c r="I565" s="20">
        <f t="shared" si="17"/>
        <v>43952</v>
      </c>
    </row>
    <row r="566" spans="1:9" x14ac:dyDescent="0.2">
      <c r="A566">
        <v>2020</v>
      </c>
      <c r="B566">
        <v>5</v>
      </c>
      <c r="C566" t="s">
        <v>55</v>
      </c>
      <c r="D566" t="s">
        <v>66</v>
      </c>
      <c r="E566" t="s">
        <v>59</v>
      </c>
      <c r="F566" s="14">
        <v>7740</v>
      </c>
      <c r="G566" s="14">
        <v>7740</v>
      </c>
      <c r="H566">
        <f t="shared" si="16"/>
        <v>0</v>
      </c>
      <c r="I566" s="20">
        <f t="shared" si="17"/>
        <v>43952</v>
      </c>
    </row>
    <row r="567" spans="1:9" x14ac:dyDescent="0.2">
      <c r="A567">
        <v>2020</v>
      </c>
      <c r="B567">
        <v>5</v>
      </c>
      <c r="C567" t="s">
        <v>55</v>
      </c>
      <c r="D567" t="s">
        <v>70</v>
      </c>
      <c r="E567" t="s">
        <v>68</v>
      </c>
      <c r="F567" s="14">
        <v>835521630</v>
      </c>
      <c r="G567" s="14">
        <v>835521630</v>
      </c>
      <c r="H567">
        <f t="shared" si="16"/>
        <v>0</v>
      </c>
      <c r="I567" s="20">
        <f t="shared" si="17"/>
        <v>43952</v>
      </c>
    </row>
    <row r="568" spans="1:9" x14ac:dyDescent="0.2">
      <c r="A568">
        <v>2020</v>
      </c>
      <c r="B568">
        <v>5</v>
      </c>
      <c r="C568" t="s">
        <v>62</v>
      </c>
      <c r="D568" t="s">
        <v>70</v>
      </c>
      <c r="E568" t="s">
        <v>63</v>
      </c>
      <c r="F568" s="14">
        <v>5710944</v>
      </c>
      <c r="G568" s="14">
        <v>3359379</v>
      </c>
      <c r="H568">
        <f t="shared" si="16"/>
        <v>0</v>
      </c>
      <c r="I568" s="20">
        <f t="shared" si="17"/>
        <v>43952</v>
      </c>
    </row>
    <row r="569" spans="1:9" x14ac:dyDescent="0.2">
      <c r="A569">
        <v>2020</v>
      </c>
      <c r="B569">
        <v>5</v>
      </c>
      <c r="C569" t="s">
        <v>64</v>
      </c>
      <c r="D569" t="s">
        <v>70</v>
      </c>
      <c r="E569" t="s">
        <v>68</v>
      </c>
      <c r="F569" s="14">
        <v>902901</v>
      </c>
      <c r="G569" s="14">
        <v>902901</v>
      </c>
      <c r="H569">
        <f t="shared" si="16"/>
        <v>0</v>
      </c>
      <c r="I569" s="20">
        <f t="shared" si="17"/>
        <v>43952</v>
      </c>
    </row>
    <row r="570" spans="1:9" x14ac:dyDescent="0.2">
      <c r="A570">
        <v>2020</v>
      </c>
      <c r="B570">
        <v>6</v>
      </c>
      <c r="C570" t="s">
        <v>55</v>
      </c>
      <c r="D570" t="s">
        <v>56</v>
      </c>
      <c r="E570" t="s">
        <v>59</v>
      </c>
      <c r="F570" s="14">
        <v>31984254</v>
      </c>
      <c r="G570" s="14">
        <v>31984254</v>
      </c>
      <c r="H570">
        <f t="shared" si="16"/>
        <v>0</v>
      </c>
      <c r="I570" s="20">
        <f t="shared" si="17"/>
        <v>43983</v>
      </c>
    </row>
    <row r="571" spans="1:9" x14ac:dyDescent="0.2">
      <c r="A571">
        <v>2020</v>
      </c>
      <c r="B571">
        <v>6</v>
      </c>
      <c r="C571" t="s">
        <v>55</v>
      </c>
      <c r="D571" t="s">
        <v>56</v>
      </c>
      <c r="E571" t="s">
        <v>58</v>
      </c>
      <c r="F571" s="14">
        <v>7332013</v>
      </c>
      <c r="G571" s="14">
        <v>7332013</v>
      </c>
      <c r="H571">
        <f t="shared" si="16"/>
        <v>0</v>
      </c>
      <c r="I571" s="20">
        <f t="shared" si="17"/>
        <v>43983</v>
      </c>
    </row>
    <row r="572" spans="1:9" x14ac:dyDescent="0.2">
      <c r="A572">
        <v>2020</v>
      </c>
      <c r="B572">
        <v>6</v>
      </c>
      <c r="C572" t="s">
        <v>64</v>
      </c>
      <c r="D572" t="s">
        <v>56</v>
      </c>
      <c r="E572" t="s">
        <v>59</v>
      </c>
      <c r="F572" s="14">
        <v>1727545</v>
      </c>
      <c r="G572" s="14">
        <v>1727545</v>
      </c>
      <c r="H572">
        <f t="shared" si="16"/>
        <v>0</v>
      </c>
      <c r="I572" s="20">
        <f t="shared" si="17"/>
        <v>43983</v>
      </c>
    </row>
    <row r="573" spans="1:9" x14ac:dyDescent="0.2">
      <c r="A573">
        <v>2020</v>
      </c>
      <c r="B573">
        <v>6</v>
      </c>
      <c r="C573" t="s">
        <v>64</v>
      </c>
      <c r="D573" t="s">
        <v>56</v>
      </c>
      <c r="E573" t="s">
        <v>58</v>
      </c>
      <c r="F573" s="14">
        <v>1075016</v>
      </c>
      <c r="G573" s="14">
        <v>1075016</v>
      </c>
      <c r="H573">
        <f t="shared" si="16"/>
        <v>0</v>
      </c>
      <c r="I573" s="20">
        <f t="shared" si="17"/>
        <v>43983</v>
      </c>
    </row>
    <row r="574" spans="1:9" x14ac:dyDescent="0.2">
      <c r="A574">
        <v>2020</v>
      </c>
      <c r="B574">
        <v>6</v>
      </c>
      <c r="C574" t="s">
        <v>55</v>
      </c>
      <c r="D574" t="s">
        <v>56</v>
      </c>
      <c r="E574" t="s">
        <v>57</v>
      </c>
      <c r="F574" s="14">
        <v>57226</v>
      </c>
      <c r="G574" s="14">
        <v>57226</v>
      </c>
      <c r="H574">
        <f t="shared" si="16"/>
        <v>0</v>
      </c>
      <c r="I574" s="20">
        <f t="shared" si="17"/>
        <v>43983</v>
      </c>
    </row>
    <row r="575" spans="1:9" x14ac:dyDescent="0.2">
      <c r="A575">
        <v>2020</v>
      </c>
      <c r="B575">
        <v>6</v>
      </c>
      <c r="C575" t="s">
        <v>55</v>
      </c>
      <c r="D575" t="s">
        <v>60</v>
      </c>
      <c r="E575" t="s">
        <v>61</v>
      </c>
      <c r="F575" s="14">
        <v>248282531</v>
      </c>
      <c r="G575" s="14">
        <v>165519330</v>
      </c>
      <c r="H575">
        <f t="shared" si="16"/>
        <v>0</v>
      </c>
      <c r="I575" s="20">
        <f t="shared" si="17"/>
        <v>43983</v>
      </c>
    </row>
    <row r="576" spans="1:9" x14ac:dyDescent="0.2">
      <c r="A576">
        <v>2020</v>
      </c>
      <c r="B576">
        <v>6</v>
      </c>
      <c r="C576" t="s">
        <v>55</v>
      </c>
      <c r="D576" t="s">
        <v>60</v>
      </c>
      <c r="E576" t="s">
        <v>63</v>
      </c>
      <c r="F576" s="14">
        <v>84573736</v>
      </c>
      <c r="G576" s="14">
        <v>49749220</v>
      </c>
      <c r="H576">
        <f t="shared" si="16"/>
        <v>0</v>
      </c>
      <c r="I576" s="20">
        <f t="shared" si="17"/>
        <v>43983</v>
      </c>
    </row>
    <row r="577" spans="1:9" x14ac:dyDescent="0.2">
      <c r="A577">
        <v>2020</v>
      </c>
      <c r="B577">
        <v>6</v>
      </c>
      <c r="C577" t="s">
        <v>62</v>
      </c>
      <c r="D577" t="s">
        <v>60</v>
      </c>
      <c r="E577" t="s">
        <v>63</v>
      </c>
      <c r="F577" s="14">
        <v>28915447</v>
      </c>
      <c r="G577" s="14">
        <v>17009086</v>
      </c>
      <c r="H577">
        <f t="shared" si="16"/>
        <v>0</v>
      </c>
      <c r="I577" s="20">
        <f t="shared" si="17"/>
        <v>43983</v>
      </c>
    </row>
    <row r="578" spans="1:9" x14ac:dyDescent="0.2">
      <c r="A578">
        <v>2020</v>
      </c>
      <c r="B578">
        <v>6</v>
      </c>
      <c r="C578" t="s">
        <v>64</v>
      </c>
      <c r="D578" t="s">
        <v>60</v>
      </c>
      <c r="E578" t="s">
        <v>61</v>
      </c>
      <c r="F578" s="14">
        <v>25123860</v>
      </c>
      <c r="G578" s="14">
        <v>16749201</v>
      </c>
      <c r="H578">
        <f t="shared" si="16"/>
        <v>0</v>
      </c>
      <c r="I578" s="20">
        <f t="shared" si="17"/>
        <v>43983</v>
      </c>
    </row>
    <row r="579" spans="1:9" x14ac:dyDescent="0.2">
      <c r="A579">
        <v>2020</v>
      </c>
      <c r="B579">
        <v>6</v>
      </c>
      <c r="C579" t="s">
        <v>55</v>
      </c>
      <c r="D579" t="s">
        <v>60</v>
      </c>
      <c r="E579" t="s">
        <v>65</v>
      </c>
      <c r="F579" s="14">
        <v>813621</v>
      </c>
      <c r="G579" s="14">
        <v>508513</v>
      </c>
      <c r="H579">
        <f t="shared" ref="H579:H642" si="18">--ISNUMBER(SEARCH("Jet Fuel",E579))</f>
        <v>1</v>
      </c>
      <c r="I579" s="20">
        <f t="shared" ref="I579:I642" si="19">DATE(A579,B579,1)</f>
        <v>43983</v>
      </c>
    </row>
    <row r="580" spans="1:9" x14ac:dyDescent="0.2">
      <c r="A580">
        <v>2020</v>
      </c>
      <c r="B580">
        <v>6</v>
      </c>
      <c r="C580" t="s">
        <v>55</v>
      </c>
      <c r="D580" t="s">
        <v>60</v>
      </c>
      <c r="E580" t="s">
        <v>76</v>
      </c>
      <c r="F580" s="14">
        <v>169056</v>
      </c>
      <c r="G580" s="14">
        <v>105660</v>
      </c>
      <c r="H580">
        <f t="shared" si="18"/>
        <v>0</v>
      </c>
      <c r="I580" s="20">
        <f t="shared" si="19"/>
        <v>43983</v>
      </c>
    </row>
    <row r="581" spans="1:9" x14ac:dyDescent="0.2">
      <c r="A581">
        <v>2020</v>
      </c>
      <c r="B581">
        <v>6</v>
      </c>
      <c r="C581" t="s">
        <v>55</v>
      </c>
      <c r="D581" t="s">
        <v>66</v>
      </c>
      <c r="E581" t="s">
        <v>63</v>
      </c>
      <c r="F581" s="14">
        <v>5700196</v>
      </c>
      <c r="G581" s="14">
        <v>3353056</v>
      </c>
      <c r="H581">
        <f t="shared" si="18"/>
        <v>0</v>
      </c>
      <c r="I581" s="20">
        <f t="shared" si="19"/>
        <v>43983</v>
      </c>
    </row>
    <row r="582" spans="1:9" x14ac:dyDescent="0.2">
      <c r="A582">
        <v>2020</v>
      </c>
      <c r="B582">
        <v>6</v>
      </c>
      <c r="C582" t="s">
        <v>55</v>
      </c>
      <c r="D582" t="s">
        <v>66</v>
      </c>
      <c r="E582" t="s">
        <v>67</v>
      </c>
      <c r="F582" s="14">
        <v>2416146</v>
      </c>
      <c r="G582" s="14">
        <v>1610763</v>
      </c>
      <c r="H582">
        <f t="shared" si="18"/>
        <v>0</v>
      </c>
      <c r="I582" s="20">
        <f t="shared" si="19"/>
        <v>43983</v>
      </c>
    </row>
    <row r="583" spans="1:9" x14ac:dyDescent="0.2">
      <c r="A583">
        <v>2020</v>
      </c>
      <c r="B583">
        <v>6</v>
      </c>
      <c r="C583" t="s">
        <v>55</v>
      </c>
      <c r="D583" t="s">
        <v>66</v>
      </c>
      <c r="E583" t="s">
        <v>68</v>
      </c>
      <c r="F583" s="14">
        <v>1972220</v>
      </c>
      <c r="G583" s="14">
        <v>1972220</v>
      </c>
      <c r="H583">
        <f t="shared" si="18"/>
        <v>0</v>
      </c>
      <c r="I583" s="20">
        <f t="shared" si="19"/>
        <v>43983</v>
      </c>
    </row>
    <row r="584" spans="1:9" x14ac:dyDescent="0.2">
      <c r="A584">
        <v>2020</v>
      </c>
      <c r="B584">
        <v>6</v>
      </c>
      <c r="C584" t="s">
        <v>55</v>
      </c>
      <c r="D584" t="s">
        <v>66</v>
      </c>
      <c r="E584" t="s">
        <v>74</v>
      </c>
      <c r="F584" s="14">
        <v>480861</v>
      </c>
      <c r="G584" s="14">
        <v>437146</v>
      </c>
      <c r="H584">
        <f t="shared" si="18"/>
        <v>0</v>
      </c>
      <c r="I584" s="20">
        <f t="shared" si="19"/>
        <v>43983</v>
      </c>
    </row>
    <row r="585" spans="1:9" x14ac:dyDescent="0.2">
      <c r="A585">
        <v>2020</v>
      </c>
      <c r="B585">
        <v>6</v>
      </c>
      <c r="C585" t="s">
        <v>55</v>
      </c>
      <c r="D585" t="s">
        <v>66</v>
      </c>
      <c r="E585" t="s">
        <v>69</v>
      </c>
      <c r="F585" s="14">
        <v>104131</v>
      </c>
      <c r="G585" s="14">
        <v>65082</v>
      </c>
      <c r="H585">
        <f t="shared" si="18"/>
        <v>0</v>
      </c>
      <c r="I585" s="20">
        <f t="shared" si="19"/>
        <v>43983</v>
      </c>
    </row>
    <row r="586" spans="1:9" x14ac:dyDescent="0.2">
      <c r="A586">
        <v>2020</v>
      </c>
      <c r="B586">
        <v>6</v>
      </c>
      <c r="C586" t="s">
        <v>55</v>
      </c>
      <c r="D586" t="s">
        <v>66</v>
      </c>
      <c r="E586" t="s">
        <v>59</v>
      </c>
      <c r="F586" s="14">
        <v>8314</v>
      </c>
      <c r="G586" s="14">
        <v>8314</v>
      </c>
      <c r="H586">
        <f t="shared" si="18"/>
        <v>0</v>
      </c>
      <c r="I586" s="20">
        <f t="shared" si="19"/>
        <v>43983</v>
      </c>
    </row>
    <row r="587" spans="1:9" x14ac:dyDescent="0.2">
      <c r="A587">
        <v>2020</v>
      </c>
      <c r="B587">
        <v>6</v>
      </c>
      <c r="C587" t="s">
        <v>55</v>
      </c>
      <c r="D587" t="s">
        <v>70</v>
      </c>
      <c r="E587" t="s">
        <v>68</v>
      </c>
      <c r="F587" s="14">
        <v>1065260312</v>
      </c>
      <c r="G587" s="14">
        <v>1065260312</v>
      </c>
      <c r="H587">
        <f t="shared" si="18"/>
        <v>0</v>
      </c>
      <c r="I587" s="20">
        <f t="shared" si="19"/>
        <v>43983</v>
      </c>
    </row>
    <row r="588" spans="1:9" x14ac:dyDescent="0.2">
      <c r="A588">
        <v>2020</v>
      </c>
      <c r="B588">
        <v>6</v>
      </c>
      <c r="C588" t="s">
        <v>62</v>
      </c>
      <c r="D588" t="s">
        <v>70</v>
      </c>
      <c r="E588" t="s">
        <v>63</v>
      </c>
      <c r="F588" s="14">
        <v>8190807</v>
      </c>
      <c r="G588" s="14">
        <v>4818122</v>
      </c>
      <c r="H588">
        <f t="shared" si="18"/>
        <v>0</v>
      </c>
      <c r="I588" s="20">
        <f t="shared" si="19"/>
        <v>43983</v>
      </c>
    </row>
    <row r="589" spans="1:9" x14ac:dyDescent="0.2">
      <c r="A589">
        <v>2020</v>
      </c>
      <c r="B589">
        <v>6</v>
      </c>
      <c r="C589" t="s">
        <v>64</v>
      </c>
      <c r="D589" t="s">
        <v>70</v>
      </c>
      <c r="E589" t="s">
        <v>68</v>
      </c>
      <c r="F589" s="14">
        <v>1027659</v>
      </c>
      <c r="G589" s="14">
        <v>1027659</v>
      </c>
      <c r="H589">
        <f t="shared" si="18"/>
        <v>0</v>
      </c>
      <c r="I589" s="20">
        <f t="shared" si="19"/>
        <v>43983</v>
      </c>
    </row>
    <row r="590" spans="1:9" x14ac:dyDescent="0.2">
      <c r="A590">
        <v>2020</v>
      </c>
      <c r="B590">
        <v>7</v>
      </c>
      <c r="C590" t="s">
        <v>55</v>
      </c>
      <c r="D590" t="s">
        <v>56</v>
      </c>
      <c r="E590" t="s">
        <v>59</v>
      </c>
      <c r="F590" s="14">
        <v>31212896</v>
      </c>
      <c r="G590" s="14">
        <v>31212896</v>
      </c>
      <c r="H590">
        <f t="shared" si="18"/>
        <v>0</v>
      </c>
      <c r="I590" s="20">
        <f t="shared" si="19"/>
        <v>44013</v>
      </c>
    </row>
    <row r="591" spans="1:9" x14ac:dyDescent="0.2">
      <c r="A591">
        <v>2020</v>
      </c>
      <c r="B591">
        <v>7</v>
      </c>
      <c r="C591" t="s">
        <v>55</v>
      </c>
      <c r="D591" t="s">
        <v>56</v>
      </c>
      <c r="E591" t="s">
        <v>58</v>
      </c>
      <c r="F591" s="14">
        <v>6793302</v>
      </c>
      <c r="G591" s="14">
        <v>6793302</v>
      </c>
      <c r="H591">
        <f t="shared" si="18"/>
        <v>0</v>
      </c>
      <c r="I591" s="20">
        <f t="shared" si="19"/>
        <v>44013</v>
      </c>
    </row>
    <row r="592" spans="1:9" x14ac:dyDescent="0.2">
      <c r="A592">
        <v>2020</v>
      </c>
      <c r="B592">
        <v>7</v>
      </c>
      <c r="C592" t="s">
        <v>64</v>
      </c>
      <c r="D592" t="s">
        <v>56</v>
      </c>
      <c r="E592" t="s">
        <v>59</v>
      </c>
      <c r="F592" s="14">
        <v>1879589</v>
      </c>
      <c r="G592" s="14">
        <v>1879589</v>
      </c>
      <c r="H592">
        <f t="shared" si="18"/>
        <v>0</v>
      </c>
      <c r="I592" s="20">
        <f t="shared" si="19"/>
        <v>44013</v>
      </c>
    </row>
    <row r="593" spans="1:9" x14ac:dyDescent="0.2">
      <c r="A593">
        <v>2020</v>
      </c>
      <c r="B593">
        <v>7</v>
      </c>
      <c r="C593" t="s">
        <v>64</v>
      </c>
      <c r="D593" t="s">
        <v>56</v>
      </c>
      <c r="E593" t="s">
        <v>58</v>
      </c>
      <c r="F593" s="14">
        <v>809299</v>
      </c>
      <c r="G593" s="14">
        <v>809299</v>
      </c>
      <c r="H593">
        <f t="shared" si="18"/>
        <v>0</v>
      </c>
      <c r="I593" s="20">
        <f t="shared" si="19"/>
        <v>44013</v>
      </c>
    </row>
    <row r="594" spans="1:9" x14ac:dyDescent="0.2">
      <c r="A594">
        <v>2020</v>
      </c>
      <c r="B594">
        <v>7</v>
      </c>
      <c r="C594" t="s">
        <v>55</v>
      </c>
      <c r="D594" t="s">
        <v>56</v>
      </c>
      <c r="E594" t="s">
        <v>57</v>
      </c>
      <c r="F594" s="14">
        <v>256193</v>
      </c>
      <c r="G594" s="14">
        <v>256193</v>
      </c>
      <c r="H594">
        <f t="shared" si="18"/>
        <v>0</v>
      </c>
      <c r="I594" s="20">
        <f t="shared" si="19"/>
        <v>44013</v>
      </c>
    </row>
    <row r="595" spans="1:9" x14ac:dyDescent="0.2">
      <c r="A595">
        <v>2020</v>
      </c>
      <c r="B595">
        <v>7</v>
      </c>
      <c r="C595" t="s">
        <v>55</v>
      </c>
      <c r="D595" t="s">
        <v>60</v>
      </c>
      <c r="E595" t="s">
        <v>61</v>
      </c>
      <c r="F595" s="14">
        <v>244110863</v>
      </c>
      <c r="G595" s="14">
        <v>162738265</v>
      </c>
      <c r="H595">
        <f t="shared" si="18"/>
        <v>0</v>
      </c>
      <c r="I595" s="20">
        <f t="shared" si="19"/>
        <v>44013</v>
      </c>
    </row>
    <row r="596" spans="1:9" x14ac:dyDescent="0.2">
      <c r="A596">
        <v>2020</v>
      </c>
      <c r="B596">
        <v>7</v>
      </c>
      <c r="C596" t="s">
        <v>55</v>
      </c>
      <c r="D596" t="s">
        <v>60</v>
      </c>
      <c r="E596" t="s">
        <v>63</v>
      </c>
      <c r="F596" s="14">
        <v>72445107</v>
      </c>
      <c r="G596" s="14">
        <v>42614735</v>
      </c>
      <c r="H596">
        <f t="shared" si="18"/>
        <v>0</v>
      </c>
      <c r="I596" s="20">
        <f t="shared" si="19"/>
        <v>44013</v>
      </c>
    </row>
    <row r="597" spans="1:9" x14ac:dyDescent="0.2">
      <c r="A597">
        <v>2020</v>
      </c>
      <c r="B597">
        <v>7</v>
      </c>
      <c r="C597" t="s">
        <v>62</v>
      </c>
      <c r="D597" t="s">
        <v>60</v>
      </c>
      <c r="E597" t="s">
        <v>63</v>
      </c>
      <c r="F597" s="14">
        <v>36441822</v>
      </c>
      <c r="G597" s="14">
        <v>21436366</v>
      </c>
      <c r="H597">
        <f t="shared" si="18"/>
        <v>0</v>
      </c>
      <c r="I597" s="20">
        <f t="shared" si="19"/>
        <v>44013</v>
      </c>
    </row>
    <row r="598" spans="1:9" x14ac:dyDescent="0.2">
      <c r="A598">
        <v>2020</v>
      </c>
      <c r="B598">
        <v>7</v>
      </c>
      <c r="C598" t="s">
        <v>64</v>
      </c>
      <c r="D598" t="s">
        <v>60</v>
      </c>
      <c r="E598" t="s">
        <v>61</v>
      </c>
      <c r="F598" s="14">
        <v>29992721</v>
      </c>
      <c r="G598" s="14">
        <v>19995093</v>
      </c>
      <c r="H598">
        <f t="shared" si="18"/>
        <v>0</v>
      </c>
      <c r="I598" s="20">
        <f t="shared" si="19"/>
        <v>44013</v>
      </c>
    </row>
    <row r="599" spans="1:9" x14ac:dyDescent="0.2">
      <c r="A599">
        <v>2020</v>
      </c>
      <c r="B599">
        <v>7</v>
      </c>
      <c r="C599" t="s">
        <v>55</v>
      </c>
      <c r="D599" t="s">
        <v>60</v>
      </c>
      <c r="E599" t="s">
        <v>65</v>
      </c>
      <c r="F599" s="14">
        <v>2458760</v>
      </c>
      <c r="G599" s="14">
        <v>1536725</v>
      </c>
      <c r="H599">
        <f t="shared" si="18"/>
        <v>1</v>
      </c>
      <c r="I599" s="20">
        <f t="shared" si="19"/>
        <v>44013</v>
      </c>
    </row>
    <row r="600" spans="1:9" x14ac:dyDescent="0.2">
      <c r="A600">
        <v>2020</v>
      </c>
      <c r="B600">
        <v>7</v>
      </c>
      <c r="C600" t="s">
        <v>55</v>
      </c>
      <c r="D600" t="s">
        <v>60</v>
      </c>
      <c r="E600" t="s">
        <v>76</v>
      </c>
      <c r="F600" s="14">
        <v>712038</v>
      </c>
      <c r="G600" s="14">
        <v>445024</v>
      </c>
      <c r="H600">
        <f t="shared" si="18"/>
        <v>0</v>
      </c>
      <c r="I600" s="20">
        <f t="shared" si="19"/>
        <v>44013</v>
      </c>
    </row>
    <row r="601" spans="1:9" x14ac:dyDescent="0.2">
      <c r="A601">
        <v>2020</v>
      </c>
      <c r="B601">
        <v>7</v>
      </c>
      <c r="C601" t="s">
        <v>64</v>
      </c>
      <c r="D601" t="s">
        <v>66</v>
      </c>
      <c r="E601" t="s">
        <v>68</v>
      </c>
      <c r="F601" s="14">
        <v>22037693</v>
      </c>
      <c r="G601" s="14">
        <v>22037693</v>
      </c>
      <c r="H601">
        <f t="shared" si="18"/>
        <v>0</v>
      </c>
      <c r="I601" s="20">
        <f t="shared" si="19"/>
        <v>44013</v>
      </c>
    </row>
    <row r="602" spans="1:9" x14ac:dyDescent="0.2">
      <c r="A602">
        <v>2020</v>
      </c>
      <c r="B602">
        <v>7</v>
      </c>
      <c r="C602" t="s">
        <v>55</v>
      </c>
      <c r="D602" t="s">
        <v>66</v>
      </c>
      <c r="E602" t="s">
        <v>63</v>
      </c>
      <c r="F602" s="14">
        <v>6161891</v>
      </c>
      <c r="G602" s="14">
        <v>3624640</v>
      </c>
      <c r="H602">
        <f t="shared" si="18"/>
        <v>0</v>
      </c>
      <c r="I602" s="20">
        <f t="shared" si="19"/>
        <v>44013</v>
      </c>
    </row>
    <row r="603" spans="1:9" x14ac:dyDescent="0.2">
      <c r="A603">
        <v>2020</v>
      </c>
      <c r="B603">
        <v>7</v>
      </c>
      <c r="C603" t="s">
        <v>55</v>
      </c>
      <c r="D603" t="s">
        <v>66</v>
      </c>
      <c r="E603" t="s">
        <v>67</v>
      </c>
      <c r="F603" s="14">
        <v>2575641</v>
      </c>
      <c r="G603" s="14">
        <v>1717093</v>
      </c>
      <c r="H603">
        <f t="shared" si="18"/>
        <v>0</v>
      </c>
      <c r="I603" s="20">
        <f t="shared" si="19"/>
        <v>44013</v>
      </c>
    </row>
    <row r="604" spans="1:9" x14ac:dyDescent="0.2">
      <c r="A604">
        <v>2020</v>
      </c>
      <c r="B604">
        <v>7</v>
      </c>
      <c r="C604" t="s">
        <v>55</v>
      </c>
      <c r="D604" t="s">
        <v>66</v>
      </c>
      <c r="E604" t="s">
        <v>68</v>
      </c>
      <c r="F604" s="14">
        <v>1804923</v>
      </c>
      <c r="G604" s="14">
        <v>1804923</v>
      </c>
      <c r="H604">
        <f t="shared" si="18"/>
        <v>0</v>
      </c>
      <c r="I604" s="20">
        <f t="shared" si="19"/>
        <v>44013</v>
      </c>
    </row>
    <row r="605" spans="1:9" x14ac:dyDescent="0.2">
      <c r="A605">
        <v>2020</v>
      </c>
      <c r="B605">
        <v>7</v>
      </c>
      <c r="C605" t="s">
        <v>55</v>
      </c>
      <c r="D605" t="s">
        <v>66</v>
      </c>
      <c r="E605" t="s">
        <v>75</v>
      </c>
      <c r="F605" s="14">
        <v>725077</v>
      </c>
      <c r="G605" s="14">
        <v>517912</v>
      </c>
      <c r="H605">
        <f t="shared" si="18"/>
        <v>0</v>
      </c>
      <c r="I605" s="20">
        <f t="shared" si="19"/>
        <v>44013</v>
      </c>
    </row>
    <row r="606" spans="1:9" x14ac:dyDescent="0.2">
      <c r="A606">
        <v>2020</v>
      </c>
      <c r="B606">
        <v>7</v>
      </c>
      <c r="C606" t="s">
        <v>55</v>
      </c>
      <c r="D606" t="s">
        <v>66</v>
      </c>
      <c r="E606" t="s">
        <v>74</v>
      </c>
      <c r="F606" s="14">
        <v>458114</v>
      </c>
      <c r="G606" s="14">
        <v>416467</v>
      </c>
      <c r="H606">
        <f t="shared" si="18"/>
        <v>0</v>
      </c>
      <c r="I606" s="20">
        <f t="shared" si="19"/>
        <v>44013</v>
      </c>
    </row>
    <row r="607" spans="1:9" x14ac:dyDescent="0.2">
      <c r="A607">
        <v>2020</v>
      </c>
      <c r="B607">
        <v>7</v>
      </c>
      <c r="C607" t="s">
        <v>55</v>
      </c>
      <c r="D607" t="s">
        <v>66</v>
      </c>
      <c r="E607" t="s">
        <v>69</v>
      </c>
      <c r="F607" s="14">
        <v>65164</v>
      </c>
      <c r="G607" s="14">
        <v>40728</v>
      </c>
      <c r="H607">
        <f t="shared" si="18"/>
        <v>0</v>
      </c>
      <c r="I607" s="20">
        <f t="shared" si="19"/>
        <v>44013</v>
      </c>
    </row>
    <row r="608" spans="1:9" x14ac:dyDescent="0.2">
      <c r="A608">
        <v>2020</v>
      </c>
      <c r="B608">
        <v>7</v>
      </c>
      <c r="C608" t="s">
        <v>55</v>
      </c>
      <c r="D608" t="s">
        <v>66</v>
      </c>
      <c r="E608" t="s">
        <v>59</v>
      </c>
      <c r="F608" s="14">
        <v>10378</v>
      </c>
      <c r="G608" s="14">
        <v>10378</v>
      </c>
      <c r="H608">
        <f t="shared" si="18"/>
        <v>0</v>
      </c>
      <c r="I608" s="20">
        <f t="shared" si="19"/>
        <v>44013</v>
      </c>
    </row>
    <row r="609" spans="1:9" x14ac:dyDescent="0.2">
      <c r="A609">
        <v>2020</v>
      </c>
      <c r="B609">
        <v>7</v>
      </c>
      <c r="C609" t="s">
        <v>55</v>
      </c>
      <c r="D609" t="s">
        <v>70</v>
      </c>
      <c r="E609" t="s">
        <v>68</v>
      </c>
      <c r="F609" s="14">
        <v>1169002095</v>
      </c>
      <c r="G609" s="14">
        <v>1169002095</v>
      </c>
      <c r="H609">
        <f t="shared" si="18"/>
        <v>0</v>
      </c>
      <c r="I609" s="20">
        <f t="shared" si="19"/>
        <v>44013</v>
      </c>
    </row>
    <row r="610" spans="1:9" x14ac:dyDescent="0.2">
      <c r="A610">
        <v>2020</v>
      </c>
      <c r="B610">
        <v>7</v>
      </c>
      <c r="C610" t="s">
        <v>64</v>
      </c>
      <c r="D610" t="s">
        <v>70</v>
      </c>
      <c r="E610" t="s">
        <v>68</v>
      </c>
      <c r="F610" s="14">
        <v>1141159</v>
      </c>
      <c r="G610" s="14">
        <v>1141159</v>
      </c>
      <c r="H610">
        <f t="shared" si="18"/>
        <v>0</v>
      </c>
      <c r="I610" s="20">
        <f t="shared" si="19"/>
        <v>44013</v>
      </c>
    </row>
    <row r="611" spans="1:9" x14ac:dyDescent="0.2">
      <c r="A611">
        <v>2020</v>
      </c>
      <c r="B611">
        <v>7</v>
      </c>
      <c r="C611" t="s">
        <v>62</v>
      </c>
      <c r="D611" t="s">
        <v>70</v>
      </c>
      <c r="E611" t="s">
        <v>63</v>
      </c>
      <c r="F611" s="14">
        <v>831504</v>
      </c>
      <c r="G611" s="14">
        <v>489120</v>
      </c>
      <c r="H611">
        <f t="shared" si="18"/>
        <v>0</v>
      </c>
      <c r="I611" s="20">
        <f t="shared" si="19"/>
        <v>44013</v>
      </c>
    </row>
    <row r="612" spans="1:9" x14ac:dyDescent="0.2">
      <c r="A612">
        <v>2020</v>
      </c>
      <c r="B612">
        <v>7</v>
      </c>
      <c r="C612" t="s">
        <v>55</v>
      </c>
      <c r="D612" t="s">
        <v>70</v>
      </c>
      <c r="E612" t="s">
        <v>77</v>
      </c>
      <c r="F612">
        <v>572</v>
      </c>
      <c r="G612">
        <v>440</v>
      </c>
      <c r="H612">
        <f t="shared" si="18"/>
        <v>0</v>
      </c>
      <c r="I612" s="20">
        <f t="shared" si="19"/>
        <v>44013</v>
      </c>
    </row>
    <row r="613" spans="1:9" x14ac:dyDescent="0.2">
      <c r="A613">
        <v>2020</v>
      </c>
      <c r="B613">
        <v>8</v>
      </c>
      <c r="C613" t="s">
        <v>55</v>
      </c>
      <c r="D613" t="s">
        <v>56</v>
      </c>
      <c r="E613" t="s">
        <v>59</v>
      </c>
      <c r="F613" s="14">
        <v>32184792</v>
      </c>
      <c r="G613" s="14">
        <v>32184792</v>
      </c>
      <c r="H613">
        <f t="shared" si="18"/>
        <v>0</v>
      </c>
      <c r="I613" s="20">
        <f t="shared" si="19"/>
        <v>44044</v>
      </c>
    </row>
    <row r="614" spans="1:9" x14ac:dyDescent="0.2">
      <c r="A614">
        <v>2020</v>
      </c>
      <c r="B614">
        <v>8</v>
      </c>
      <c r="C614" t="s">
        <v>55</v>
      </c>
      <c r="D614" t="s">
        <v>56</v>
      </c>
      <c r="E614" t="s">
        <v>58</v>
      </c>
      <c r="F614" s="14">
        <v>7173179</v>
      </c>
      <c r="G614" s="14">
        <v>7173179</v>
      </c>
      <c r="H614">
        <f t="shared" si="18"/>
        <v>0</v>
      </c>
      <c r="I614" s="20">
        <f t="shared" si="19"/>
        <v>44044</v>
      </c>
    </row>
    <row r="615" spans="1:9" x14ac:dyDescent="0.2">
      <c r="A615">
        <v>2020</v>
      </c>
      <c r="B615">
        <v>8</v>
      </c>
      <c r="C615" t="s">
        <v>64</v>
      </c>
      <c r="D615" t="s">
        <v>56</v>
      </c>
      <c r="E615" t="s">
        <v>59</v>
      </c>
      <c r="F615" s="14">
        <v>2537477</v>
      </c>
      <c r="G615" s="14">
        <v>2537477</v>
      </c>
      <c r="H615">
        <f t="shared" si="18"/>
        <v>0</v>
      </c>
      <c r="I615" s="20">
        <f t="shared" si="19"/>
        <v>44044</v>
      </c>
    </row>
    <row r="616" spans="1:9" x14ac:dyDescent="0.2">
      <c r="A616">
        <v>2020</v>
      </c>
      <c r="B616">
        <v>8</v>
      </c>
      <c r="C616" t="s">
        <v>64</v>
      </c>
      <c r="D616" t="s">
        <v>56</v>
      </c>
      <c r="E616" t="s">
        <v>58</v>
      </c>
      <c r="F616" s="14">
        <v>470463</v>
      </c>
      <c r="G616" s="14">
        <v>470463</v>
      </c>
      <c r="H616">
        <f t="shared" si="18"/>
        <v>0</v>
      </c>
      <c r="I616" s="20">
        <f t="shared" si="19"/>
        <v>44044</v>
      </c>
    </row>
    <row r="617" spans="1:9" x14ac:dyDescent="0.2">
      <c r="A617">
        <v>2020</v>
      </c>
      <c r="B617">
        <v>8</v>
      </c>
      <c r="C617" t="s">
        <v>55</v>
      </c>
      <c r="D617" t="s">
        <v>56</v>
      </c>
      <c r="E617" t="s">
        <v>57</v>
      </c>
      <c r="F617" s="14">
        <v>229403</v>
      </c>
      <c r="G617" s="14">
        <v>229403</v>
      </c>
      <c r="H617">
        <f t="shared" si="18"/>
        <v>0</v>
      </c>
      <c r="I617" s="20">
        <f t="shared" si="19"/>
        <v>44044</v>
      </c>
    </row>
    <row r="618" spans="1:9" x14ac:dyDescent="0.2">
      <c r="A618">
        <v>2020</v>
      </c>
      <c r="B618">
        <v>8</v>
      </c>
      <c r="C618" t="s">
        <v>55</v>
      </c>
      <c r="D618" t="s">
        <v>60</v>
      </c>
      <c r="E618" t="s">
        <v>61</v>
      </c>
      <c r="F618" s="14">
        <v>257243900</v>
      </c>
      <c r="G618" s="14">
        <v>171493499</v>
      </c>
      <c r="H618">
        <f t="shared" si="18"/>
        <v>0</v>
      </c>
      <c r="I618" s="20">
        <f t="shared" si="19"/>
        <v>44044</v>
      </c>
    </row>
    <row r="619" spans="1:9" x14ac:dyDescent="0.2">
      <c r="A619">
        <v>2020</v>
      </c>
      <c r="B619">
        <v>8</v>
      </c>
      <c r="C619" t="s">
        <v>55</v>
      </c>
      <c r="D619" t="s">
        <v>60</v>
      </c>
      <c r="E619" t="s">
        <v>63</v>
      </c>
      <c r="F619" s="14">
        <v>68472656</v>
      </c>
      <c r="G619" s="14">
        <v>40277987</v>
      </c>
      <c r="H619">
        <f t="shared" si="18"/>
        <v>0</v>
      </c>
      <c r="I619" s="20">
        <f t="shared" si="19"/>
        <v>44044</v>
      </c>
    </row>
    <row r="620" spans="1:9" x14ac:dyDescent="0.2">
      <c r="A620">
        <v>2020</v>
      </c>
      <c r="B620">
        <v>8</v>
      </c>
      <c r="C620" t="s">
        <v>62</v>
      </c>
      <c r="D620" t="s">
        <v>60</v>
      </c>
      <c r="E620" t="s">
        <v>63</v>
      </c>
      <c r="F620" s="14">
        <v>40003047</v>
      </c>
      <c r="G620" s="14">
        <v>23531204</v>
      </c>
      <c r="H620">
        <f t="shared" si="18"/>
        <v>0</v>
      </c>
      <c r="I620" s="20">
        <f t="shared" si="19"/>
        <v>44044</v>
      </c>
    </row>
    <row r="621" spans="1:9" x14ac:dyDescent="0.2">
      <c r="A621">
        <v>2020</v>
      </c>
      <c r="B621">
        <v>8</v>
      </c>
      <c r="C621" t="s">
        <v>64</v>
      </c>
      <c r="D621" t="s">
        <v>60</v>
      </c>
      <c r="E621" t="s">
        <v>61</v>
      </c>
      <c r="F621" s="14">
        <v>24527514</v>
      </c>
      <c r="G621" s="14">
        <v>16351622</v>
      </c>
      <c r="H621">
        <f t="shared" si="18"/>
        <v>0</v>
      </c>
      <c r="I621" s="20">
        <f t="shared" si="19"/>
        <v>44044</v>
      </c>
    </row>
    <row r="622" spans="1:9" x14ac:dyDescent="0.2">
      <c r="A622">
        <v>2020</v>
      </c>
      <c r="B622">
        <v>8</v>
      </c>
      <c r="C622" t="s">
        <v>55</v>
      </c>
      <c r="D622" t="s">
        <v>60</v>
      </c>
      <c r="E622" t="s">
        <v>65</v>
      </c>
      <c r="F622" s="14">
        <v>102168</v>
      </c>
      <c r="G622" s="14">
        <v>63855</v>
      </c>
      <c r="H622">
        <f t="shared" si="18"/>
        <v>1</v>
      </c>
      <c r="I622" s="20">
        <f t="shared" si="19"/>
        <v>44044</v>
      </c>
    </row>
    <row r="623" spans="1:9" x14ac:dyDescent="0.2">
      <c r="A623">
        <v>2020</v>
      </c>
      <c r="B623">
        <v>8</v>
      </c>
      <c r="C623" t="s">
        <v>64</v>
      </c>
      <c r="D623" t="s">
        <v>66</v>
      </c>
      <c r="E623" t="s">
        <v>68</v>
      </c>
      <c r="F623" s="14">
        <v>27566484</v>
      </c>
      <c r="G623" s="14">
        <v>27566484</v>
      </c>
      <c r="H623">
        <f t="shared" si="18"/>
        <v>0</v>
      </c>
      <c r="I623" s="20">
        <f t="shared" si="19"/>
        <v>44044</v>
      </c>
    </row>
    <row r="624" spans="1:9" x14ac:dyDescent="0.2">
      <c r="A624">
        <v>2020</v>
      </c>
      <c r="B624">
        <v>8</v>
      </c>
      <c r="C624" t="s">
        <v>55</v>
      </c>
      <c r="D624" t="s">
        <v>66</v>
      </c>
      <c r="E624" t="s">
        <v>63</v>
      </c>
      <c r="F624" s="14">
        <v>6246934</v>
      </c>
      <c r="G624" s="14">
        <v>3674667</v>
      </c>
      <c r="H624">
        <f t="shared" si="18"/>
        <v>0</v>
      </c>
      <c r="I624" s="20">
        <f t="shared" si="19"/>
        <v>44044</v>
      </c>
    </row>
    <row r="625" spans="1:9" x14ac:dyDescent="0.2">
      <c r="A625">
        <v>2020</v>
      </c>
      <c r="B625">
        <v>8</v>
      </c>
      <c r="C625" t="s">
        <v>55</v>
      </c>
      <c r="D625" t="s">
        <v>66</v>
      </c>
      <c r="E625" t="s">
        <v>67</v>
      </c>
      <c r="F625" s="14">
        <v>2520505</v>
      </c>
      <c r="G625" s="14">
        <v>1680336</v>
      </c>
      <c r="H625">
        <f t="shared" si="18"/>
        <v>0</v>
      </c>
      <c r="I625" s="20">
        <f t="shared" si="19"/>
        <v>44044</v>
      </c>
    </row>
    <row r="626" spans="1:9" x14ac:dyDescent="0.2">
      <c r="A626">
        <v>2020</v>
      </c>
      <c r="B626">
        <v>8</v>
      </c>
      <c r="C626" t="s">
        <v>55</v>
      </c>
      <c r="D626" t="s">
        <v>66</v>
      </c>
      <c r="E626" t="s">
        <v>68</v>
      </c>
      <c r="F626" s="14">
        <v>1946561</v>
      </c>
      <c r="G626" s="14">
        <v>1946561</v>
      </c>
      <c r="H626">
        <f t="shared" si="18"/>
        <v>0</v>
      </c>
      <c r="I626" s="20">
        <f t="shared" si="19"/>
        <v>44044</v>
      </c>
    </row>
    <row r="627" spans="1:9" x14ac:dyDescent="0.2">
      <c r="A627">
        <v>2020</v>
      </c>
      <c r="B627">
        <v>8</v>
      </c>
      <c r="C627" t="s">
        <v>55</v>
      </c>
      <c r="D627" t="s">
        <v>66</v>
      </c>
      <c r="E627" t="s">
        <v>75</v>
      </c>
      <c r="F627" s="14">
        <v>531805</v>
      </c>
      <c r="G627" s="14">
        <v>379861</v>
      </c>
      <c r="H627">
        <f t="shared" si="18"/>
        <v>0</v>
      </c>
      <c r="I627" s="20">
        <f t="shared" si="19"/>
        <v>44044</v>
      </c>
    </row>
    <row r="628" spans="1:9" x14ac:dyDescent="0.2">
      <c r="A628">
        <v>2020</v>
      </c>
      <c r="B628">
        <v>8</v>
      </c>
      <c r="C628" t="s">
        <v>55</v>
      </c>
      <c r="D628" t="s">
        <v>66</v>
      </c>
      <c r="E628" t="s">
        <v>74</v>
      </c>
      <c r="F628" s="14">
        <v>435284</v>
      </c>
      <c r="G628" s="14">
        <v>395713</v>
      </c>
      <c r="H628">
        <f t="shared" si="18"/>
        <v>0</v>
      </c>
      <c r="I628" s="20">
        <f t="shared" si="19"/>
        <v>44044</v>
      </c>
    </row>
    <row r="629" spans="1:9" x14ac:dyDescent="0.2">
      <c r="A629">
        <v>2020</v>
      </c>
      <c r="B629">
        <v>8</v>
      </c>
      <c r="C629" t="s">
        <v>55</v>
      </c>
      <c r="D629" t="s">
        <v>66</v>
      </c>
      <c r="E629" t="s">
        <v>69</v>
      </c>
      <c r="F629" s="14">
        <v>52128</v>
      </c>
      <c r="G629" s="14">
        <v>32580</v>
      </c>
      <c r="H629">
        <f t="shared" si="18"/>
        <v>0</v>
      </c>
      <c r="I629" s="20">
        <f t="shared" si="19"/>
        <v>44044</v>
      </c>
    </row>
    <row r="630" spans="1:9" x14ac:dyDescent="0.2">
      <c r="A630">
        <v>2020</v>
      </c>
      <c r="B630">
        <v>8</v>
      </c>
      <c r="C630" t="s">
        <v>55</v>
      </c>
      <c r="D630" t="s">
        <v>66</v>
      </c>
      <c r="E630" t="s">
        <v>59</v>
      </c>
      <c r="F630" s="14">
        <v>9452</v>
      </c>
      <c r="G630" s="14">
        <v>9452</v>
      </c>
      <c r="H630">
        <f t="shared" si="18"/>
        <v>0</v>
      </c>
      <c r="I630" s="20">
        <f t="shared" si="19"/>
        <v>44044</v>
      </c>
    </row>
    <row r="631" spans="1:9" x14ac:dyDescent="0.2">
      <c r="A631">
        <v>2020</v>
      </c>
      <c r="B631">
        <v>8</v>
      </c>
      <c r="C631" t="s">
        <v>55</v>
      </c>
      <c r="D631" t="s">
        <v>70</v>
      </c>
      <c r="E631" t="s">
        <v>68</v>
      </c>
      <c r="F631" s="14">
        <v>1124709247</v>
      </c>
      <c r="G631" s="14">
        <v>1124709247</v>
      </c>
      <c r="H631">
        <f t="shared" si="18"/>
        <v>0</v>
      </c>
      <c r="I631" s="20">
        <f t="shared" si="19"/>
        <v>44044</v>
      </c>
    </row>
    <row r="632" spans="1:9" x14ac:dyDescent="0.2">
      <c r="A632">
        <v>2020</v>
      </c>
      <c r="B632">
        <v>8</v>
      </c>
      <c r="C632" t="s">
        <v>64</v>
      </c>
      <c r="D632" t="s">
        <v>70</v>
      </c>
      <c r="E632" t="s">
        <v>68</v>
      </c>
      <c r="F632" s="14">
        <v>1191316</v>
      </c>
      <c r="G632" s="14">
        <v>1191316</v>
      </c>
      <c r="H632">
        <f t="shared" si="18"/>
        <v>0</v>
      </c>
      <c r="I632" s="20">
        <f t="shared" si="19"/>
        <v>44044</v>
      </c>
    </row>
    <row r="633" spans="1:9" x14ac:dyDescent="0.2">
      <c r="A633">
        <v>2020</v>
      </c>
      <c r="B633">
        <v>8</v>
      </c>
      <c r="C633" t="s">
        <v>62</v>
      </c>
      <c r="D633" t="s">
        <v>70</v>
      </c>
      <c r="E633" t="s">
        <v>63</v>
      </c>
      <c r="F633" s="14">
        <v>1137740</v>
      </c>
      <c r="G633" s="14">
        <v>669259</v>
      </c>
      <c r="H633">
        <f t="shared" si="18"/>
        <v>0</v>
      </c>
      <c r="I633" s="20">
        <f t="shared" si="19"/>
        <v>44044</v>
      </c>
    </row>
    <row r="634" spans="1:9" x14ac:dyDescent="0.2">
      <c r="A634">
        <v>2020</v>
      </c>
      <c r="B634">
        <v>9</v>
      </c>
      <c r="C634" t="s">
        <v>55</v>
      </c>
      <c r="D634" t="s">
        <v>56</v>
      </c>
      <c r="E634" t="s">
        <v>59</v>
      </c>
      <c r="F634" s="14">
        <v>35720286</v>
      </c>
      <c r="G634" s="14">
        <v>35720286</v>
      </c>
      <c r="H634">
        <f t="shared" si="18"/>
        <v>0</v>
      </c>
      <c r="I634" s="20">
        <f t="shared" si="19"/>
        <v>44075</v>
      </c>
    </row>
    <row r="635" spans="1:9" x14ac:dyDescent="0.2">
      <c r="A635">
        <v>2020</v>
      </c>
      <c r="B635">
        <v>9</v>
      </c>
      <c r="C635" t="s">
        <v>55</v>
      </c>
      <c r="D635" t="s">
        <v>56</v>
      </c>
      <c r="E635" t="s">
        <v>58</v>
      </c>
      <c r="F635" s="14">
        <v>7230002</v>
      </c>
      <c r="G635" s="14">
        <v>7230002</v>
      </c>
      <c r="H635">
        <f t="shared" si="18"/>
        <v>0</v>
      </c>
      <c r="I635" s="20">
        <f t="shared" si="19"/>
        <v>44075</v>
      </c>
    </row>
    <row r="636" spans="1:9" x14ac:dyDescent="0.2">
      <c r="A636">
        <v>2020</v>
      </c>
      <c r="B636">
        <v>9</v>
      </c>
      <c r="C636" t="s">
        <v>64</v>
      </c>
      <c r="D636" t="s">
        <v>56</v>
      </c>
      <c r="E636" t="s">
        <v>59</v>
      </c>
      <c r="F636" s="14">
        <v>2793120</v>
      </c>
      <c r="G636" s="14">
        <v>2793120</v>
      </c>
      <c r="H636">
        <f t="shared" si="18"/>
        <v>0</v>
      </c>
      <c r="I636" s="20">
        <f t="shared" si="19"/>
        <v>44075</v>
      </c>
    </row>
    <row r="637" spans="1:9" x14ac:dyDescent="0.2">
      <c r="A637">
        <v>2020</v>
      </c>
      <c r="B637">
        <v>9</v>
      </c>
      <c r="C637" t="s">
        <v>55</v>
      </c>
      <c r="D637" t="s">
        <v>56</v>
      </c>
      <c r="E637" t="s">
        <v>57</v>
      </c>
      <c r="F637" s="14">
        <v>114746</v>
      </c>
      <c r="G637" s="14">
        <v>114746</v>
      </c>
      <c r="H637">
        <f t="shared" si="18"/>
        <v>0</v>
      </c>
      <c r="I637" s="20">
        <f t="shared" si="19"/>
        <v>44075</v>
      </c>
    </row>
    <row r="638" spans="1:9" x14ac:dyDescent="0.2">
      <c r="A638">
        <v>2020</v>
      </c>
      <c r="B638">
        <v>9</v>
      </c>
      <c r="C638" t="s">
        <v>55</v>
      </c>
      <c r="D638" t="s">
        <v>60</v>
      </c>
      <c r="E638" t="s">
        <v>61</v>
      </c>
      <c r="F638" s="14">
        <v>251801474</v>
      </c>
      <c r="G638" s="14">
        <v>167865219</v>
      </c>
      <c r="H638">
        <f t="shared" si="18"/>
        <v>0</v>
      </c>
      <c r="I638" s="20">
        <f t="shared" si="19"/>
        <v>44075</v>
      </c>
    </row>
    <row r="639" spans="1:9" x14ac:dyDescent="0.2">
      <c r="A639">
        <v>2020</v>
      </c>
      <c r="B639">
        <v>9</v>
      </c>
      <c r="C639" t="s">
        <v>62</v>
      </c>
      <c r="D639" t="s">
        <v>60</v>
      </c>
      <c r="E639" t="s">
        <v>63</v>
      </c>
      <c r="F639" s="14">
        <v>89201630</v>
      </c>
      <c r="G639" s="14">
        <v>52471547</v>
      </c>
      <c r="H639">
        <f t="shared" si="18"/>
        <v>0</v>
      </c>
      <c r="I639" s="20">
        <f t="shared" si="19"/>
        <v>44075</v>
      </c>
    </row>
    <row r="640" spans="1:9" x14ac:dyDescent="0.2">
      <c r="A640">
        <v>2020</v>
      </c>
      <c r="B640">
        <v>9</v>
      </c>
      <c r="C640" t="s">
        <v>55</v>
      </c>
      <c r="D640" t="s">
        <v>60</v>
      </c>
      <c r="E640" t="s">
        <v>63</v>
      </c>
      <c r="F640" s="14">
        <v>76213150</v>
      </c>
      <c r="G640" s="14">
        <v>44831236</v>
      </c>
      <c r="H640">
        <f t="shared" si="18"/>
        <v>0</v>
      </c>
      <c r="I640" s="20">
        <f t="shared" si="19"/>
        <v>44075</v>
      </c>
    </row>
    <row r="641" spans="1:9" x14ac:dyDescent="0.2">
      <c r="A641">
        <v>2020</v>
      </c>
      <c r="B641">
        <v>9</v>
      </c>
      <c r="C641" t="s">
        <v>64</v>
      </c>
      <c r="D641" t="s">
        <v>60</v>
      </c>
      <c r="E641" t="s">
        <v>61</v>
      </c>
      <c r="F641" s="14">
        <v>21081377</v>
      </c>
      <c r="G641" s="14">
        <v>14054214</v>
      </c>
      <c r="H641">
        <f t="shared" si="18"/>
        <v>0</v>
      </c>
      <c r="I641" s="20">
        <f t="shared" si="19"/>
        <v>44075</v>
      </c>
    </row>
    <row r="642" spans="1:9" x14ac:dyDescent="0.2">
      <c r="A642">
        <v>2020</v>
      </c>
      <c r="B642">
        <v>9</v>
      </c>
      <c r="C642" t="s">
        <v>55</v>
      </c>
      <c r="D642" t="s">
        <v>60</v>
      </c>
      <c r="E642" t="s">
        <v>65</v>
      </c>
      <c r="F642" s="14">
        <v>593870</v>
      </c>
      <c r="G642" s="14">
        <v>371169</v>
      </c>
      <c r="H642">
        <f t="shared" si="18"/>
        <v>1</v>
      </c>
      <c r="I642" s="20">
        <f t="shared" si="19"/>
        <v>44075</v>
      </c>
    </row>
    <row r="643" spans="1:9" x14ac:dyDescent="0.2">
      <c r="A643">
        <v>2020</v>
      </c>
      <c r="B643">
        <v>9</v>
      </c>
      <c r="C643" t="s">
        <v>64</v>
      </c>
      <c r="D643" t="s">
        <v>66</v>
      </c>
      <c r="E643" t="s">
        <v>68</v>
      </c>
      <c r="F643" s="14">
        <v>27396158</v>
      </c>
      <c r="G643" s="14">
        <v>27396158</v>
      </c>
      <c r="H643">
        <f t="shared" ref="H643:H706" si="20">--ISNUMBER(SEARCH("Jet Fuel",E643))</f>
        <v>0</v>
      </c>
      <c r="I643" s="20">
        <f t="shared" ref="I643:I706" si="21">DATE(A643,B643,1)</f>
        <v>44075</v>
      </c>
    </row>
    <row r="644" spans="1:9" x14ac:dyDescent="0.2">
      <c r="A644">
        <v>2020</v>
      </c>
      <c r="B644">
        <v>9</v>
      </c>
      <c r="C644" t="s">
        <v>55</v>
      </c>
      <c r="D644" t="s">
        <v>66</v>
      </c>
      <c r="E644" t="s">
        <v>63</v>
      </c>
      <c r="F644" s="14">
        <v>5578611</v>
      </c>
      <c r="G644" s="14">
        <v>3281535</v>
      </c>
      <c r="H644">
        <f t="shared" si="20"/>
        <v>0</v>
      </c>
      <c r="I644" s="20">
        <f t="shared" si="21"/>
        <v>44075</v>
      </c>
    </row>
    <row r="645" spans="1:9" x14ac:dyDescent="0.2">
      <c r="A645">
        <v>2020</v>
      </c>
      <c r="B645">
        <v>9</v>
      </c>
      <c r="C645" t="s">
        <v>55</v>
      </c>
      <c r="D645" t="s">
        <v>66</v>
      </c>
      <c r="E645" t="s">
        <v>67</v>
      </c>
      <c r="F645" s="14">
        <v>2936588</v>
      </c>
      <c r="G645" s="14">
        <v>1957725</v>
      </c>
      <c r="H645">
        <f t="shared" si="20"/>
        <v>0</v>
      </c>
      <c r="I645" s="20">
        <f t="shared" si="21"/>
        <v>44075</v>
      </c>
    </row>
    <row r="646" spans="1:9" x14ac:dyDescent="0.2">
      <c r="A646">
        <v>2020</v>
      </c>
      <c r="B646">
        <v>9</v>
      </c>
      <c r="C646" t="s">
        <v>55</v>
      </c>
      <c r="D646" t="s">
        <v>66</v>
      </c>
      <c r="E646" t="s">
        <v>68</v>
      </c>
      <c r="F646" s="14">
        <v>1892214</v>
      </c>
      <c r="G646" s="14">
        <v>1892214</v>
      </c>
      <c r="H646">
        <f t="shared" si="20"/>
        <v>0</v>
      </c>
      <c r="I646" s="20">
        <f t="shared" si="21"/>
        <v>44075</v>
      </c>
    </row>
    <row r="647" spans="1:9" x14ac:dyDescent="0.2">
      <c r="A647">
        <v>2020</v>
      </c>
      <c r="B647">
        <v>9</v>
      </c>
      <c r="C647" t="s">
        <v>55</v>
      </c>
      <c r="D647" t="s">
        <v>66</v>
      </c>
      <c r="E647" t="s">
        <v>75</v>
      </c>
      <c r="F647" s="14">
        <v>500868</v>
      </c>
      <c r="G647" s="14">
        <v>357763</v>
      </c>
      <c r="H647">
        <f t="shared" si="20"/>
        <v>0</v>
      </c>
      <c r="I647" s="20">
        <f t="shared" si="21"/>
        <v>44075</v>
      </c>
    </row>
    <row r="648" spans="1:9" x14ac:dyDescent="0.2">
      <c r="A648">
        <v>2020</v>
      </c>
      <c r="B648">
        <v>9</v>
      </c>
      <c r="C648" t="s">
        <v>55</v>
      </c>
      <c r="D648" t="s">
        <v>66</v>
      </c>
      <c r="E648" t="s">
        <v>74</v>
      </c>
      <c r="F648" s="14">
        <v>381125</v>
      </c>
      <c r="G648" s="14">
        <v>346477</v>
      </c>
      <c r="H648">
        <f t="shared" si="20"/>
        <v>0</v>
      </c>
      <c r="I648" s="20">
        <f t="shared" si="21"/>
        <v>44075</v>
      </c>
    </row>
    <row r="649" spans="1:9" x14ac:dyDescent="0.2">
      <c r="A649">
        <v>2020</v>
      </c>
      <c r="B649">
        <v>9</v>
      </c>
      <c r="C649" t="s">
        <v>55</v>
      </c>
      <c r="D649" t="s">
        <v>66</v>
      </c>
      <c r="E649" t="s">
        <v>69</v>
      </c>
      <c r="F649" s="14">
        <v>115846</v>
      </c>
      <c r="G649" s="14">
        <v>72403</v>
      </c>
      <c r="H649">
        <f t="shared" si="20"/>
        <v>0</v>
      </c>
      <c r="I649" s="20">
        <f t="shared" si="21"/>
        <v>44075</v>
      </c>
    </row>
    <row r="650" spans="1:9" x14ac:dyDescent="0.2">
      <c r="A650">
        <v>2020</v>
      </c>
      <c r="B650">
        <v>9</v>
      </c>
      <c r="C650" t="s">
        <v>55</v>
      </c>
      <c r="D650" t="s">
        <v>66</v>
      </c>
      <c r="E650" t="s">
        <v>59</v>
      </c>
      <c r="F650" s="14">
        <v>9276</v>
      </c>
      <c r="G650" s="14">
        <v>9276</v>
      </c>
      <c r="H650">
        <f t="shared" si="20"/>
        <v>0</v>
      </c>
      <c r="I650" s="20">
        <f t="shared" si="21"/>
        <v>44075</v>
      </c>
    </row>
    <row r="651" spans="1:9" x14ac:dyDescent="0.2">
      <c r="A651">
        <v>2020</v>
      </c>
      <c r="B651">
        <v>9</v>
      </c>
      <c r="C651" t="s">
        <v>55</v>
      </c>
      <c r="D651" t="s">
        <v>70</v>
      </c>
      <c r="E651" t="s">
        <v>68</v>
      </c>
      <c r="F651" s="14">
        <v>1116041079</v>
      </c>
      <c r="G651" s="14">
        <v>1116041079</v>
      </c>
      <c r="H651">
        <f t="shared" si="20"/>
        <v>0</v>
      </c>
      <c r="I651" s="20">
        <f t="shared" si="21"/>
        <v>44075</v>
      </c>
    </row>
    <row r="652" spans="1:9" x14ac:dyDescent="0.2">
      <c r="A652">
        <v>2020</v>
      </c>
      <c r="B652">
        <v>9</v>
      </c>
      <c r="C652" t="s">
        <v>62</v>
      </c>
      <c r="D652" t="s">
        <v>70</v>
      </c>
      <c r="E652" t="s">
        <v>63</v>
      </c>
      <c r="F652" s="14">
        <v>4502512</v>
      </c>
      <c r="G652" s="14">
        <v>2648536</v>
      </c>
      <c r="H652">
        <f t="shared" si="20"/>
        <v>0</v>
      </c>
      <c r="I652" s="20">
        <f t="shared" si="21"/>
        <v>44075</v>
      </c>
    </row>
    <row r="653" spans="1:9" x14ac:dyDescent="0.2">
      <c r="A653">
        <v>2020</v>
      </c>
      <c r="B653">
        <v>9</v>
      </c>
      <c r="C653" t="s">
        <v>64</v>
      </c>
      <c r="D653" t="s">
        <v>70</v>
      </c>
      <c r="E653" t="s">
        <v>68</v>
      </c>
      <c r="F653" s="14">
        <v>1159627</v>
      </c>
      <c r="G653" s="14">
        <v>1159627</v>
      </c>
      <c r="H653">
        <f t="shared" si="20"/>
        <v>0</v>
      </c>
      <c r="I653" s="20">
        <f t="shared" si="21"/>
        <v>44075</v>
      </c>
    </row>
    <row r="654" spans="1:9" x14ac:dyDescent="0.2">
      <c r="A654">
        <v>2020</v>
      </c>
      <c r="B654">
        <v>10</v>
      </c>
      <c r="C654" t="s">
        <v>55</v>
      </c>
      <c r="D654" t="s">
        <v>56</v>
      </c>
      <c r="E654" t="s">
        <v>59</v>
      </c>
      <c r="F654" s="14">
        <v>34208723</v>
      </c>
      <c r="G654" s="14">
        <v>34208723</v>
      </c>
      <c r="H654">
        <f t="shared" si="20"/>
        <v>0</v>
      </c>
      <c r="I654" s="20">
        <f t="shared" si="21"/>
        <v>44105</v>
      </c>
    </row>
    <row r="655" spans="1:9" x14ac:dyDescent="0.2">
      <c r="A655">
        <v>2020</v>
      </c>
      <c r="B655">
        <v>10</v>
      </c>
      <c r="C655" t="s">
        <v>55</v>
      </c>
      <c r="D655" t="s">
        <v>56</v>
      </c>
      <c r="E655" t="s">
        <v>58</v>
      </c>
      <c r="F655" s="14">
        <v>7352727</v>
      </c>
      <c r="G655" s="14">
        <v>7352727</v>
      </c>
      <c r="H655">
        <f t="shared" si="20"/>
        <v>0</v>
      </c>
      <c r="I655" s="20">
        <f t="shared" si="21"/>
        <v>44105</v>
      </c>
    </row>
    <row r="656" spans="1:9" x14ac:dyDescent="0.2">
      <c r="A656">
        <v>2020</v>
      </c>
      <c r="B656">
        <v>10</v>
      </c>
      <c r="C656" t="s">
        <v>64</v>
      </c>
      <c r="D656" t="s">
        <v>56</v>
      </c>
      <c r="E656" t="s">
        <v>59</v>
      </c>
      <c r="F656" s="14">
        <v>2911202</v>
      </c>
      <c r="G656" s="14">
        <v>2911202</v>
      </c>
      <c r="H656">
        <f t="shared" si="20"/>
        <v>0</v>
      </c>
      <c r="I656" s="20">
        <f t="shared" si="21"/>
        <v>44105</v>
      </c>
    </row>
    <row r="657" spans="1:9" x14ac:dyDescent="0.2">
      <c r="A657">
        <v>2020</v>
      </c>
      <c r="B657">
        <v>10</v>
      </c>
      <c r="C657" t="s">
        <v>55</v>
      </c>
      <c r="D657" t="s">
        <v>56</v>
      </c>
      <c r="E657" t="s">
        <v>57</v>
      </c>
      <c r="F657" s="14">
        <v>173213</v>
      </c>
      <c r="G657" s="14">
        <v>173213</v>
      </c>
      <c r="H657">
        <f t="shared" si="20"/>
        <v>0</v>
      </c>
      <c r="I657" s="20">
        <f t="shared" si="21"/>
        <v>44105</v>
      </c>
    </row>
    <row r="658" spans="1:9" x14ac:dyDescent="0.2">
      <c r="A658">
        <v>2020</v>
      </c>
      <c r="B658">
        <v>10</v>
      </c>
      <c r="C658" t="s">
        <v>55</v>
      </c>
      <c r="D658" t="s">
        <v>60</v>
      </c>
      <c r="E658" t="s">
        <v>61</v>
      </c>
      <c r="F658" s="14">
        <v>224237799</v>
      </c>
      <c r="G658" s="14">
        <v>149489760</v>
      </c>
      <c r="H658">
        <f t="shared" si="20"/>
        <v>0</v>
      </c>
      <c r="I658" s="20">
        <f t="shared" si="21"/>
        <v>44105</v>
      </c>
    </row>
    <row r="659" spans="1:9" x14ac:dyDescent="0.2">
      <c r="A659">
        <v>2020</v>
      </c>
      <c r="B659">
        <v>10</v>
      </c>
      <c r="C659" t="s">
        <v>62</v>
      </c>
      <c r="D659" t="s">
        <v>60</v>
      </c>
      <c r="E659" t="s">
        <v>63</v>
      </c>
      <c r="F659" s="14">
        <v>49742290</v>
      </c>
      <c r="G659" s="14">
        <v>29260171</v>
      </c>
      <c r="H659">
        <f t="shared" si="20"/>
        <v>0</v>
      </c>
      <c r="I659" s="20">
        <f t="shared" si="21"/>
        <v>44105</v>
      </c>
    </row>
    <row r="660" spans="1:9" x14ac:dyDescent="0.2">
      <c r="A660">
        <v>2020</v>
      </c>
      <c r="B660">
        <v>10</v>
      </c>
      <c r="C660" t="s">
        <v>55</v>
      </c>
      <c r="D660" t="s">
        <v>60</v>
      </c>
      <c r="E660" t="s">
        <v>63</v>
      </c>
      <c r="F660" s="14">
        <v>35511779</v>
      </c>
      <c r="G660" s="14">
        <v>20889246</v>
      </c>
      <c r="H660">
        <f t="shared" si="20"/>
        <v>0</v>
      </c>
      <c r="I660" s="20">
        <f t="shared" si="21"/>
        <v>44105</v>
      </c>
    </row>
    <row r="661" spans="1:9" x14ac:dyDescent="0.2">
      <c r="A661">
        <v>2020</v>
      </c>
      <c r="B661">
        <v>10</v>
      </c>
      <c r="C661" t="s">
        <v>64</v>
      </c>
      <c r="D661" t="s">
        <v>60</v>
      </c>
      <c r="E661" t="s">
        <v>61</v>
      </c>
      <c r="F661" s="14">
        <v>22923796</v>
      </c>
      <c r="G661" s="14">
        <v>15282502</v>
      </c>
      <c r="H661">
        <f t="shared" si="20"/>
        <v>0</v>
      </c>
      <c r="I661" s="20">
        <f t="shared" si="21"/>
        <v>44105</v>
      </c>
    </row>
    <row r="662" spans="1:9" x14ac:dyDescent="0.2">
      <c r="A662">
        <v>2020</v>
      </c>
      <c r="B662">
        <v>10</v>
      </c>
      <c r="C662" t="s">
        <v>55</v>
      </c>
      <c r="D662" t="s">
        <v>60</v>
      </c>
      <c r="E662" t="s">
        <v>65</v>
      </c>
      <c r="F662" s="14">
        <v>301466</v>
      </c>
      <c r="G662" s="14">
        <v>188416</v>
      </c>
      <c r="H662">
        <f t="shared" si="20"/>
        <v>1</v>
      </c>
      <c r="I662" s="20">
        <f t="shared" si="21"/>
        <v>44105</v>
      </c>
    </row>
    <row r="663" spans="1:9" x14ac:dyDescent="0.2">
      <c r="A663">
        <v>2020</v>
      </c>
      <c r="B663">
        <v>10</v>
      </c>
      <c r="C663" t="s">
        <v>64</v>
      </c>
      <c r="D663" t="s">
        <v>66</v>
      </c>
      <c r="E663" t="s">
        <v>68</v>
      </c>
      <c r="F663" s="14">
        <v>16839735</v>
      </c>
      <c r="G663" s="14">
        <v>16839735</v>
      </c>
      <c r="H663">
        <f t="shared" si="20"/>
        <v>0</v>
      </c>
      <c r="I663" s="20">
        <f t="shared" si="21"/>
        <v>44105</v>
      </c>
    </row>
    <row r="664" spans="1:9" x14ac:dyDescent="0.2">
      <c r="A664">
        <v>2020</v>
      </c>
      <c r="B664">
        <v>10</v>
      </c>
      <c r="C664" t="s">
        <v>55</v>
      </c>
      <c r="D664" t="s">
        <v>66</v>
      </c>
      <c r="E664" t="s">
        <v>63</v>
      </c>
      <c r="F664" s="14">
        <v>7392026</v>
      </c>
      <c r="G664" s="14">
        <v>4348250</v>
      </c>
      <c r="H664">
        <f t="shared" si="20"/>
        <v>0</v>
      </c>
      <c r="I664" s="20">
        <f t="shared" si="21"/>
        <v>44105</v>
      </c>
    </row>
    <row r="665" spans="1:9" x14ac:dyDescent="0.2">
      <c r="A665">
        <v>2020</v>
      </c>
      <c r="B665">
        <v>10</v>
      </c>
      <c r="C665" t="s">
        <v>55</v>
      </c>
      <c r="D665" t="s">
        <v>66</v>
      </c>
      <c r="E665" t="s">
        <v>68</v>
      </c>
      <c r="F665" s="14">
        <v>1985006</v>
      </c>
      <c r="G665" s="14">
        <v>1985006</v>
      </c>
      <c r="H665">
        <f t="shared" si="20"/>
        <v>0</v>
      </c>
      <c r="I665" s="20">
        <f t="shared" si="21"/>
        <v>44105</v>
      </c>
    </row>
    <row r="666" spans="1:9" x14ac:dyDescent="0.2">
      <c r="A666">
        <v>2020</v>
      </c>
      <c r="B666">
        <v>10</v>
      </c>
      <c r="C666" t="s">
        <v>55</v>
      </c>
      <c r="D666" t="s">
        <v>66</v>
      </c>
      <c r="E666" t="s">
        <v>75</v>
      </c>
      <c r="F666" s="14">
        <v>549153</v>
      </c>
      <c r="G666" s="14">
        <v>392252</v>
      </c>
      <c r="H666">
        <f t="shared" si="20"/>
        <v>0</v>
      </c>
      <c r="I666" s="20">
        <f t="shared" si="21"/>
        <v>44105</v>
      </c>
    </row>
    <row r="667" spans="1:9" x14ac:dyDescent="0.2">
      <c r="A667">
        <v>2020</v>
      </c>
      <c r="B667">
        <v>10</v>
      </c>
      <c r="C667" t="s">
        <v>55</v>
      </c>
      <c r="D667" t="s">
        <v>66</v>
      </c>
      <c r="E667" t="s">
        <v>67</v>
      </c>
      <c r="F667" s="14">
        <v>477914</v>
      </c>
      <c r="G667" s="14">
        <v>318609</v>
      </c>
      <c r="H667">
        <f t="shared" si="20"/>
        <v>0</v>
      </c>
      <c r="I667" s="20">
        <f t="shared" si="21"/>
        <v>44105</v>
      </c>
    </row>
    <row r="668" spans="1:9" x14ac:dyDescent="0.2">
      <c r="A668">
        <v>2020</v>
      </c>
      <c r="B668">
        <v>10</v>
      </c>
      <c r="C668" t="s">
        <v>55</v>
      </c>
      <c r="D668" t="s">
        <v>66</v>
      </c>
      <c r="E668" t="s">
        <v>74</v>
      </c>
      <c r="F668" s="14">
        <v>271947</v>
      </c>
      <c r="G668" s="14">
        <v>247224</v>
      </c>
      <c r="H668">
        <f t="shared" si="20"/>
        <v>0</v>
      </c>
      <c r="I668" s="20">
        <f t="shared" si="21"/>
        <v>44105</v>
      </c>
    </row>
    <row r="669" spans="1:9" x14ac:dyDescent="0.2">
      <c r="A669">
        <v>2020</v>
      </c>
      <c r="B669">
        <v>10</v>
      </c>
      <c r="C669" t="s">
        <v>55</v>
      </c>
      <c r="D669" t="s">
        <v>66</v>
      </c>
      <c r="E669" t="s">
        <v>69</v>
      </c>
      <c r="F669" s="14">
        <v>169488</v>
      </c>
      <c r="G669" s="14">
        <v>105930</v>
      </c>
      <c r="H669">
        <f t="shared" si="20"/>
        <v>0</v>
      </c>
      <c r="I669" s="20">
        <f t="shared" si="21"/>
        <v>44105</v>
      </c>
    </row>
    <row r="670" spans="1:9" x14ac:dyDescent="0.2">
      <c r="A670">
        <v>2020</v>
      </c>
      <c r="B670">
        <v>10</v>
      </c>
      <c r="C670" t="s">
        <v>55</v>
      </c>
      <c r="D670" t="s">
        <v>66</v>
      </c>
      <c r="E670" t="s">
        <v>59</v>
      </c>
      <c r="F670" s="14">
        <v>7669</v>
      </c>
      <c r="G670" s="14">
        <v>7669</v>
      </c>
      <c r="H670">
        <f t="shared" si="20"/>
        <v>0</v>
      </c>
      <c r="I670" s="20">
        <f t="shared" si="21"/>
        <v>44105</v>
      </c>
    </row>
    <row r="671" spans="1:9" x14ac:dyDescent="0.2">
      <c r="A671">
        <v>2020</v>
      </c>
      <c r="B671">
        <v>10</v>
      </c>
      <c r="C671" t="s">
        <v>55</v>
      </c>
      <c r="D671" t="s">
        <v>70</v>
      </c>
      <c r="E671" t="s">
        <v>68</v>
      </c>
      <c r="F671" s="14">
        <v>1138032677</v>
      </c>
      <c r="G671" s="14">
        <v>1138032677</v>
      </c>
      <c r="H671">
        <f t="shared" si="20"/>
        <v>0</v>
      </c>
      <c r="I671" s="20">
        <f t="shared" si="21"/>
        <v>44105</v>
      </c>
    </row>
    <row r="672" spans="1:9" x14ac:dyDescent="0.2">
      <c r="A672">
        <v>2020</v>
      </c>
      <c r="B672">
        <v>10</v>
      </c>
      <c r="C672" t="s">
        <v>62</v>
      </c>
      <c r="D672" t="s">
        <v>70</v>
      </c>
      <c r="E672" t="s">
        <v>63</v>
      </c>
      <c r="F672" s="14">
        <v>15257933</v>
      </c>
      <c r="G672" s="14">
        <v>8975255</v>
      </c>
      <c r="H672">
        <f t="shared" si="20"/>
        <v>0</v>
      </c>
      <c r="I672" s="20">
        <f t="shared" si="21"/>
        <v>44105</v>
      </c>
    </row>
    <row r="673" spans="1:9" x14ac:dyDescent="0.2">
      <c r="A673">
        <v>2020</v>
      </c>
      <c r="B673">
        <v>10</v>
      </c>
      <c r="C673" t="s">
        <v>64</v>
      </c>
      <c r="D673" t="s">
        <v>70</v>
      </c>
      <c r="E673" t="s">
        <v>68</v>
      </c>
      <c r="F673" s="14">
        <v>1153031</v>
      </c>
      <c r="G673" s="14">
        <v>1153031</v>
      </c>
      <c r="H673">
        <f t="shared" si="20"/>
        <v>0</v>
      </c>
      <c r="I673" s="20">
        <f t="shared" si="21"/>
        <v>44105</v>
      </c>
    </row>
    <row r="674" spans="1:9" x14ac:dyDescent="0.2">
      <c r="A674">
        <v>2020</v>
      </c>
      <c r="B674">
        <v>11</v>
      </c>
      <c r="C674" t="s">
        <v>55</v>
      </c>
      <c r="D674" t="s">
        <v>56</v>
      </c>
      <c r="E674" t="s">
        <v>59</v>
      </c>
      <c r="F674" s="14">
        <v>35602358</v>
      </c>
      <c r="G674" s="14">
        <v>35602358</v>
      </c>
      <c r="H674">
        <f t="shared" si="20"/>
        <v>0</v>
      </c>
      <c r="I674" s="20">
        <f t="shared" si="21"/>
        <v>44136</v>
      </c>
    </row>
    <row r="675" spans="1:9" x14ac:dyDescent="0.2">
      <c r="A675">
        <v>2020</v>
      </c>
      <c r="B675">
        <v>11</v>
      </c>
      <c r="C675" t="s">
        <v>55</v>
      </c>
      <c r="D675" t="s">
        <v>56</v>
      </c>
      <c r="E675" t="s">
        <v>58</v>
      </c>
      <c r="F675" s="14">
        <v>7497164</v>
      </c>
      <c r="G675" s="14">
        <v>7497164</v>
      </c>
      <c r="H675">
        <f t="shared" si="20"/>
        <v>0</v>
      </c>
      <c r="I675" s="20">
        <f t="shared" si="21"/>
        <v>44136</v>
      </c>
    </row>
    <row r="676" spans="1:9" x14ac:dyDescent="0.2">
      <c r="A676">
        <v>2020</v>
      </c>
      <c r="B676">
        <v>11</v>
      </c>
      <c r="C676" t="s">
        <v>64</v>
      </c>
      <c r="D676" t="s">
        <v>56</v>
      </c>
      <c r="E676" t="s">
        <v>59</v>
      </c>
      <c r="F676" s="14">
        <v>3068629</v>
      </c>
      <c r="G676" s="14">
        <v>3068629</v>
      </c>
      <c r="H676">
        <f t="shared" si="20"/>
        <v>0</v>
      </c>
      <c r="I676" s="20">
        <f t="shared" si="21"/>
        <v>44136</v>
      </c>
    </row>
    <row r="677" spans="1:9" x14ac:dyDescent="0.2">
      <c r="A677">
        <v>2020</v>
      </c>
      <c r="B677">
        <v>11</v>
      </c>
      <c r="C677" t="s">
        <v>55</v>
      </c>
      <c r="D677" t="s">
        <v>56</v>
      </c>
      <c r="E677" t="s">
        <v>57</v>
      </c>
      <c r="F677" s="14">
        <v>173959</v>
      </c>
      <c r="G677" s="14">
        <v>173959</v>
      </c>
      <c r="H677">
        <f t="shared" si="20"/>
        <v>0</v>
      </c>
      <c r="I677" s="20">
        <f t="shared" si="21"/>
        <v>44136</v>
      </c>
    </row>
    <row r="678" spans="1:9" x14ac:dyDescent="0.2">
      <c r="A678">
        <v>2020</v>
      </c>
      <c r="B678">
        <v>11</v>
      </c>
      <c r="C678" t="s">
        <v>55</v>
      </c>
      <c r="D678" t="s">
        <v>60</v>
      </c>
      <c r="E678" t="s">
        <v>61</v>
      </c>
      <c r="F678" s="14">
        <v>214245415</v>
      </c>
      <c r="G678" s="14">
        <v>142828517</v>
      </c>
      <c r="H678">
        <f t="shared" si="20"/>
        <v>0</v>
      </c>
      <c r="I678" s="20">
        <f t="shared" si="21"/>
        <v>44136</v>
      </c>
    </row>
    <row r="679" spans="1:9" x14ac:dyDescent="0.2">
      <c r="A679">
        <v>2020</v>
      </c>
      <c r="B679">
        <v>11</v>
      </c>
      <c r="C679" t="s">
        <v>55</v>
      </c>
      <c r="D679" t="s">
        <v>60</v>
      </c>
      <c r="E679" t="s">
        <v>63</v>
      </c>
      <c r="F679" s="14">
        <v>73310115</v>
      </c>
      <c r="G679" s="14">
        <v>43123558</v>
      </c>
      <c r="H679">
        <f t="shared" si="20"/>
        <v>0</v>
      </c>
      <c r="I679" s="20">
        <f t="shared" si="21"/>
        <v>44136</v>
      </c>
    </row>
    <row r="680" spans="1:9" x14ac:dyDescent="0.2">
      <c r="A680">
        <v>2020</v>
      </c>
      <c r="B680">
        <v>11</v>
      </c>
      <c r="C680" t="s">
        <v>62</v>
      </c>
      <c r="D680" t="s">
        <v>60</v>
      </c>
      <c r="E680" t="s">
        <v>63</v>
      </c>
      <c r="F680" s="14">
        <v>69217057</v>
      </c>
      <c r="G680" s="14">
        <v>40715916</v>
      </c>
      <c r="H680">
        <f t="shared" si="20"/>
        <v>0</v>
      </c>
      <c r="I680" s="20">
        <f t="shared" si="21"/>
        <v>44136</v>
      </c>
    </row>
    <row r="681" spans="1:9" x14ac:dyDescent="0.2">
      <c r="A681">
        <v>2020</v>
      </c>
      <c r="B681">
        <v>11</v>
      </c>
      <c r="C681" t="s">
        <v>64</v>
      </c>
      <c r="D681" t="s">
        <v>60</v>
      </c>
      <c r="E681" t="s">
        <v>61</v>
      </c>
      <c r="F681" s="14">
        <v>32916784</v>
      </c>
      <c r="G681" s="14">
        <v>21944490</v>
      </c>
      <c r="H681">
        <f t="shared" si="20"/>
        <v>0</v>
      </c>
      <c r="I681" s="20">
        <f t="shared" si="21"/>
        <v>44136</v>
      </c>
    </row>
    <row r="682" spans="1:9" x14ac:dyDescent="0.2">
      <c r="A682">
        <v>2020</v>
      </c>
      <c r="B682">
        <v>11</v>
      </c>
      <c r="C682" t="s">
        <v>55</v>
      </c>
      <c r="D682" t="s">
        <v>60</v>
      </c>
      <c r="E682" t="s">
        <v>65</v>
      </c>
      <c r="F682" s="14">
        <v>301122</v>
      </c>
      <c r="G682" s="14">
        <v>188201</v>
      </c>
      <c r="H682">
        <f t="shared" si="20"/>
        <v>1</v>
      </c>
      <c r="I682" s="20">
        <f t="shared" si="21"/>
        <v>44136</v>
      </c>
    </row>
    <row r="683" spans="1:9" x14ac:dyDescent="0.2">
      <c r="A683">
        <v>2020</v>
      </c>
      <c r="B683">
        <v>11</v>
      </c>
      <c r="C683" t="s">
        <v>55</v>
      </c>
      <c r="D683" t="s">
        <v>60</v>
      </c>
      <c r="E683" t="s">
        <v>69</v>
      </c>
      <c r="F683" s="14">
        <v>9384</v>
      </c>
      <c r="G683" s="14">
        <v>5865</v>
      </c>
      <c r="H683">
        <f t="shared" si="20"/>
        <v>0</v>
      </c>
      <c r="I683" s="20">
        <f t="shared" si="21"/>
        <v>44136</v>
      </c>
    </row>
    <row r="684" spans="1:9" x14ac:dyDescent="0.2">
      <c r="A684">
        <v>2020</v>
      </c>
      <c r="B684">
        <v>11</v>
      </c>
      <c r="C684" t="s">
        <v>55</v>
      </c>
      <c r="D684" t="s">
        <v>60</v>
      </c>
      <c r="E684" t="s">
        <v>76</v>
      </c>
      <c r="F684" s="14">
        <v>7443</v>
      </c>
      <c r="G684" s="14">
        <v>4652</v>
      </c>
      <c r="H684">
        <f t="shared" si="20"/>
        <v>0</v>
      </c>
      <c r="I684" s="20">
        <f t="shared" si="21"/>
        <v>44136</v>
      </c>
    </row>
    <row r="685" spans="1:9" x14ac:dyDescent="0.2">
      <c r="A685">
        <v>2020</v>
      </c>
      <c r="B685">
        <v>11</v>
      </c>
      <c r="C685" t="s">
        <v>64</v>
      </c>
      <c r="D685" t="s">
        <v>66</v>
      </c>
      <c r="E685" t="s">
        <v>68</v>
      </c>
      <c r="F685" s="14">
        <v>21572221</v>
      </c>
      <c r="G685" s="14">
        <v>21572221</v>
      </c>
      <c r="H685">
        <f t="shared" si="20"/>
        <v>0</v>
      </c>
      <c r="I685" s="20">
        <f t="shared" si="21"/>
        <v>44136</v>
      </c>
    </row>
    <row r="686" spans="1:9" x14ac:dyDescent="0.2">
      <c r="A686">
        <v>2020</v>
      </c>
      <c r="B686">
        <v>11</v>
      </c>
      <c r="C686" t="s">
        <v>55</v>
      </c>
      <c r="D686" t="s">
        <v>66</v>
      </c>
      <c r="E686" t="s">
        <v>63</v>
      </c>
      <c r="F686" s="14">
        <v>10084263</v>
      </c>
      <c r="G686" s="14">
        <v>5931919</v>
      </c>
      <c r="H686">
        <f t="shared" si="20"/>
        <v>0</v>
      </c>
      <c r="I686" s="20">
        <f t="shared" si="21"/>
        <v>44136</v>
      </c>
    </row>
    <row r="687" spans="1:9" x14ac:dyDescent="0.2">
      <c r="A687">
        <v>2020</v>
      </c>
      <c r="B687">
        <v>11</v>
      </c>
      <c r="C687" t="s">
        <v>55</v>
      </c>
      <c r="D687" t="s">
        <v>66</v>
      </c>
      <c r="E687" t="s">
        <v>67</v>
      </c>
      <c r="F687" s="14">
        <v>1936196</v>
      </c>
      <c r="G687" s="14">
        <v>1290797</v>
      </c>
      <c r="H687">
        <f t="shared" si="20"/>
        <v>0</v>
      </c>
      <c r="I687" s="20">
        <f t="shared" si="21"/>
        <v>44136</v>
      </c>
    </row>
    <row r="688" spans="1:9" x14ac:dyDescent="0.2">
      <c r="A688">
        <v>2020</v>
      </c>
      <c r="B688">
        <v>11</v>
      </c>
      <c r="C688" t="s">
        <v>55</v>
      </c>
      <c r="D688" t="s">
        <v>66</v>
      </c>
      <c r="E688" t="s">
        <v>68</v>
      </c>
      <c r="F688" s="14">
        <v>1902346</v>
      </c>
      <c r="G688" s="14">
        <v>1902346</v>
      </c>
      <c r="H688">
        <f t="shared" si="20"/>
        <v>0</v>
      </c>
      <c r="I688" s="20">
        <f t="shared" si="21"/>
        <v>44136</v>
      </c>
    </row>
    <row r="689" spans="1:9" x14ac:dyDescent="0.2">
      <c r="A689">
        <v>2020</v>
      </c>
      <c r="B689">
        <v>11</v>
      </c>
      <c r="C689" t="s">
        <v>55</v>
      </c>
      <c r="D689" t="s">
        <v>66</v>
      </c>
      <c r="E689" t="s">
        <v>74</v>
      </c>
      <c r="F689" s="14">
        <v>1052260</v>
      </c>
      <c r="G689" s="14">
        <v>956600</v>
      </c>
      <c r="H689">
        <f t="shared" si="20"/>
        <v>0</v>
      </c>
      <c r="I689" s="20">
        <f t="shared" si="21"/>
        <v>44136</v>
      </c>
    </row>
    <row r="690" spans="1:9" x14ac:dyDescent="0.2">
      <c r="A690">
        <v>2020</v>
      </c>
      <c r="B690">
        <v>11</v>
      </c>
      <c r="C690" t="s">
        <v>55</v>
      </c>
      <c r="D690" t="s">
        <v>66</v>
      </c>
      <c r="E690" t="s">
        <v>75</v>
      </c>
      <c r="F690" s="14">
        <v>511673</v>
      </c>
      <c r="G690" s="14">
        <v>365481</v>
      </c>
      <c r="H690">
        <f t="shared" si="20"/>
        <v>0</v>
      </c>
      <c r="I690" s="20">
        <f t="shared" si="21"/>
        <v>44136</v>
      </c>
    </row>
    <row r="691" spans="1:9" x14ac:dyDescent="0.2">
      <c r="A691">
        <v>2020</v>
      </c>
      <c r="B691">
        <v>11</v>
      </c>
      <c r="C691" t="s">
        <v>55</v>
      </c>
      <c r="D691" t="s">
        <v>66</v>
      </c>
      <c r="E691" t="s">
        <v>69</v>
      </c>
      <c r="F691" s="14">
        <v>222349</v>
      </c>
      <c r="G691" s="14">
        <v>138968</v>
      </c>
      <c r="H691">
        <f t="shared" si="20"/>
        <v>0</v>
      </c>
      <c r="I691" s="20">
        <f t="shared" si="21"/>
        <v>44136</v>
      </c>
    </row>
    <row r="692" spans="1:9" x14ac:dyDescent="0.2">
      <c r="A692">
        <v>2020</v>
      </c>
      <c r="B692">
        <v>11</v>
      </c>
      <c r="C692" t="s">
        <v>55</v>
      </c>
      <c r="D692" t="s">
        <v>66</v>
      </c>
      <c r="E692" t="s">
        <v>59</v>
      </c>
      <c r="F692" s="14">
        <v>8502</v>
      </c>
      <c r="G692" s="14">
        <v>8502</v>
      </c>
      <c r="H692">
        <f t="shared" si="20"/>
        <v>0</v>
      </c>
      <c r="I692" s="20">
        <f t="shared" si="21"/>
        <v>44136</v>
      </c>
    </row>
    <row r="693" spans="1:9" x14ac:dyDescent="0.2">
      <c r="A693">
        <v>2020</v>
      </c>
      <c r="B693">
        <v>11</v>
      </c>
      <c r="C693" t="s">
        <v>55</v>
      </c>
      <c r="D693" t="s">
        <v>70</v>
      </c>
      <c r="E693" t="s">
        <v>68</v>
      </c>
      <c r="F693" s="14">
        <v>1136429603</v>
      </c>
      <c r="G693" s="14">
        <v>1136429603</v>
      </c>
      <c r="H693">
        <f t="shared" si="20"/>
        <v>0</v>
      </c>
      <c r="I693" s="20">
        <f t="shared" si="21"/>
        <v>44136</v>
      </c>
    </row>
    <row r="694" spans="1:9" x14ac:dyDescent="0.2">
      <c r="A694">
        <v>2020</v>
      </c>
      <c r="B694">
        <v>11</v>
      </c>
      <c r="C694" t="s">
        <v>62</v>
      </c>
      <c r="D694" t="s">
        <v>70</v>
      </c>
      <c r="E694" t="s">
        <v>63</v>
      </c>
      <c r="F694" s="14">
        <v>6354400</v>
      </c>
      <c r="G694" s="14">
        <v>3737882</v>
      </c>
      <c r="H694">
        <f t="shared" si="20"/>
        <v>0</v>
      </c>
      <c r="I694" s="20">
        <f t="shared" si="21"/>
        <v>44136</v>
      </c>
    </row>
    <row r="695" spans="1:9" x14ac:dyDescent="0.2">
      <c r="A695">
        <v>2020</v>
      </c>
      <c r="B695">
        <v>11</v>
      </c>
      <c r="C695" t="s">
        <v>64</v>
      </c>
      <c r="D695" t="s">
        <v>70</v>
      </c>
      <c r="E695" t="s">
        <v>68</v>
      </c>
      <c r="F695" s="14">
        <v>894215</v>
      </c>
      <c r="G695" s="14">
        <v>894215</v>
      </c>
      <c r="H695">
        <f t="shared" si="20"/>
        <v>0</v>
      </c>
      <c r="I695" s="20">
        <f t="shared" si="21"/>
        <v>44136</v>
      </c>
    </row>
    <row r="696" spans="1:9" x14ac:dyDescent="0.2">
      <c r="A696">
        <v>2020</v>
      </c>
      <c r="B696">
        <v>11</v>
      </c>
      <c r="C696" t="s">
        <v>64</v>
      </c>
      <c r="D696" t="s">
        <v>71</v>
      </c>
      <c r="E696" t="s">
        <v>72</v>
      </c>
      <c r="F696" s="14">
        <v>55892</v>
      </c>
      <c r="G696" s="14">
        <v>55892</v>
      </c>
      <c r="H696">
        <f t="shared" si="20"/>
        <v>0</v>
      </c>
      <c r="I696" s="20">
        <f t="shared" si="21"/>
        <v>44136</v>
      </c>
    </row>
    <row r="697" spans="1:9" x14ac:dyDescent="0.2">
      <c r="A697">
        <v>2020</v>
      </c>
      <c r="B697">
        <v>12</v>
      </c>
      <c r="C697" t="s">
        <v>55</v>
      </c>
      <c r="D697" t="s">
        <v>56</v>
      </c>
      <c r="E697" t="s">
        <v>59</v>
      </c>
      <c r="F697" s="14">
        <v>71993431</v>
      </c>
      <c r="G697" s="14">
        <v>71993431</v>
      </c>
      <c r="H697">
        <f t="shared" si="20"/>
        <v>0</v>
      </c>
      <c r="I697" s="20">
        <f t="shared" si="21"/>
        <v>44166</v>
      </c>
    </row>
    <row r="698" spans="1:9" x14ac:dyDescent="0.2">
      <c r="A698">
        <v>2020</v>
      </c>
      <c r="B698">
        <v>12</v>
      </c>
      <c r="C698" t="s">
        <v>55</v>
      </c>
      <c r="D698" t="s">
        <v>56</v>
      </c>
      <c r="E698" t="s">
        <v>58</v>
      </c>
      <c r="F698" s="14">
        <v>13960148</v>
      </c>
      <c r="G698" s="14">
        <v>13960148</v>
      </c>
      <c r="H698">
        <f t="shared" si="20"/>
        <v>0</v>
      </c>
      <c r="I698" s="20">
        <f t="shared" si="21"/>
        <v>44166</v>
      </c>
    </row>
    <row r="699" spans="1:9" x14ac:dyDescent="0.2">
      <c r="A699">
        <v>2020</v>
      </c>
      <c r="B699">
        <v>12</v>
      </c>
      <c r="C699" t="s">
        <v>64</v>
      </c>
      <c r="D699" t="s">
        <v>56</v>
      </c>
      <c r="E699" t="s">
        <v>59</v>
      </c>
      <c r="F699" s="14">
        <v>5942291</v>
      </c>
      <c r="G699" s="14">
        <v>5942291</v>
      </c>
      <c r="H699">
        <f t="shared" si="20"/>
        <v>0</v>
      </c>
      <c r="I699" s="20">
        <f t="shared" si="21"/>
        <v>44166</v>
      </c>
    </row>
    <row r="700" spans="1:9" x14ac:dyDescent="0.2">
      <c r="A700">
        <v>2020</v>
      </c>
      <c r="B700">
        <v>12</v>
      </c>
      <c r="C700" t="s">
        <v>64</v>
      </c>
      <c r="D700" t="s">
        <v>56</v>
      </c>
      <c r="E700" t="s">
        <v>58</v>
      </c>
      <c r="F700" s="14">
        <v>279203</v>
      </c>
      <c r="G700" s="14">
        <v>279203</v>
      </c>
      <c r="H700">
        <f t="shared" si="20"/>
        <v>0</v>
      </c>
      <c r="I700" s="20">
        <f t="shared" si="21"/>
        <v>44166</v>
      </c>
    </row>
    <row r="701" spans="1:9" x14ac:dyDescent="0.2">
      <c r="A701">
        <v>2020</v>
      </c>
      <c r="B701">
        <v>12</v>
      </c>
      <c r="C701" t="s">
        <v>55</v>
      </c>
      <c r="D701" t="s">
        <v>56</v>
      </c>
      <c r="E701" t="s">
        <v>57</v>
      </c>
      <c r="F701" s="14">
        <v>57832</v>
      </c>
      <c r="G701" s="14">
        <v>57832</v>
      </c>
      <c r="H701">
        <f t="shared" si="20"/>
        <v>0</v>
      </c>
      <c r="I701" s="20">
        <f t="shared" si="21"/>
        <v>44166</v>
      </c>
    </row>
    <row r="702" spans="1:9" x14ac:dyDescent="0.2">
      <c r="A702">
        <v>2020</v>
      </c>
      <c r="B702">
        <v>12</v>
      </c>
      <c r="C702" t="s">
        <v>55</v>
      </c>
      <c r="D702" t="s">
        <v>60</v>
      </c>
      <c r="E702" t="s">
        <v>61</v>
      </c>
      <c r="F702" s="14">
        <v>263824602</v>
      </c>
      <c r="G702" s="14">
        <v>175881221</v>
      </c>
      <c r="H702">
        <f t="shared" si="20"/>
        <v>0</v>
      </c>
      <c r="I702" s="20">
        <f t="shared" si="21"/>
        <v>44166</v>
      </c>
    </row>
    <row r="703" spans="1:9" x14ac:dyDescent="0.2">
      <c r="A703">
        <v>2020</v>
      </c>
      <c r="B703">
        <v>12</v>
      </c>
      <c r="C703" t="s">
        <v>55</v>
      </c>
      <c r="D703" t="s">
        <v>60</v>
      </c>
      <c r="E703" t="s">
        <v>63</v>
      </c>
      <c r="F703" s="14">
        <v>84497760</v>
      </c>
      <c r="G703" s="14">
        <v>49704530</v>
      </c>
      <c r="H703">
        <f t="shared" si="20"/>
        <v>0</v>
      </c>
      <c r="I703" s="20">
        <f t="shared" si="21"/>
        <v>44166</v>
      </c>
    </row>
    <row r="704" spans="1:9" x14ac:dyDescent="0.2">
      <c r="A704">
        <v>2020</v>
      </c>
      <c r="B704">
        <v>12</v>
      </c>
      <c r="C704" t="s">
        <v>62</v>
      </c>
      <c r="D704" t="s">
        <v>60</v>
      </c>
      <c r="E704" t="s">
        <v>63</v>
      </c>
      <c r="F704" s="14">
        <v>62816369</v>
      </c>
      <c r="G704" s="14">
        <v>36950805</v>
      </c>
      <c r="H704">
        <f t="shared" si="20"/>
        <v>0</v>
      </c>
      <c r="I704" s="20">
        <f t="shared" si="21"/>
        <v>44166</v>
      </c>
    </row>
    <row r="705" spans="1:9" x14ac:dyDescent="0.2">
      <c r="A705">
        <v>2020</v>
      </c>
      <c r="B705">
        <v>12</v>
      </c>
      <c r="C705" t="s">
        <v>64</v>
      </c>
      <c r="D705" t="s">
        <v>60</v>
      </c>
      <c r="E705" t="s">
        <v>61</v>
      </c>
      <c r="F705" s="14">
        <v>36007098</v>
      </c>
      <c r="G705" s="14">
        <v>24004702</v>
      </c>
      <c r="H705">
        <f t="shared" si="20"/>
        <v>0</v>
      </c>
      <c r="I705" s="20">
        <f t="shared" si="21"/>
        <v>44166</v>
      </c>
    </row>
    <row r="706" spans="1:9" x14ac:dyDescent="0.2">
      <c r="A706">
        <v>2020</v>
      </c>
      <c r="B706">
        <v>12</v>
      </c>
      <c r="C706" t="s">
        <v>55</v>
      </c>
      <c r="D706" t="s">
        <v>60</v>
      </c>
      <c r="E706" t="s">
        <v>65</v>
      </c>
      <c r="F706" s="14">
        <v>311460</v>
      </c>
      <c r="G706" s="14">
        <v>194662</v>
      </c>
      <c r="H706">
        <f t="shared" si="20"/>
        <v>1</v>
      </c>
      <c r="I706" s="20">
        <f t="shared" si="21"/>
        <v>44166</v>
      </c>
    </row>
    <row r="707" spans="1:9" x14ac:dyDescent="0.2">
      <c r="A707">
        <v>2020</v>
      </c>
      <c r="B707">
        <v>12</v>
      </c>
      <c r="C707" t="s">
        <v>64</v>
      </c>
      <c r="D707" t="s">
        <v>66</v>
      </c>
      <c r="E707" t="s">
        <v>68</v>
      </c>
      <c r="F707" s="14">
        <v>25454380</v>
      </c>
      <c r="G707" s="14">
        <v>25454380</v>
      </c>
      <c r="H707">
        <f t="shared" ref="H707:H770" si="22">--ISNUMBER(SEARCH("Jet Fuel",E707))</f>
        <v>0</v>
      </c>
      <c r="I707" s="20">
        <f t="shared" ref="I707:I770" si="23">DATE(A707,B707,1)</f>
        <v>44166</v>
      </c>
    </row>
    <row r="708" spans="1:9" x14ac:dyDescent="0.2">
      <c r="A708">
        <v>2020</v>
      </c>
      <c r="B708">
        <v>12</v>
      </c>
      <c r="C708" t="s">
        <v>55</v>
      </c>
      <c r="D708" t="s">
        <v>66</v>
      </c>
      <c r="E708" t="s">
        <v>63</v>
      </c>
      <c r="F708" s="14">
        <v>13775887</v>
      </c>
      <c r="G708" s="14">
        <v>8103462</v>
      </c>
      <c r="H708">
        <f t="shared" si="22"/>
        <v>0</v>
      </c>
      <c r="I708" s="20">
        <f t="shared" si="23"/>
        <v>44166</v>
      </c>
    </row>
    <row r="709" spans="1:9" x14ac:dyDescent="0.2">
      <c r="A709">
        <v>2020</v>
      </c>
      <c r="B709">
        <v>12</v>
      </c>
      <c r="C709" t="s">
        <v>55</v>
      </c>
      <c r="D709" t="s">
        <v>66</v>
      </c>
      <c r="E709" t="s">
        <v>68</v>
      </c>
      <c r="F709" s="14">
        <v>2285111</v>
      </c>
      <c r="G709" s="14">
        <v>2285111</v>
      </c>
      <c r="H709">
        <f t="shared" si="22"/>
        <v>0</v>
      </c>
      <c r="I709" s="20">
        <f t="shared" si="23"/>
        <v>44166</v>
      </c>
    </row>
    <row r="710" spans="1:9" x14ac:dyDescent="0.2">
      <c r="A710">
        <v>2020</v>
      </c>
      <c r="B710">
        <v>12</v>
      </c>
      <c r="C710" t="s">
        <v>55</v>
      </c>
      <c r="D710" t="s">
        <v>66</v>
      </c>
      <c r="E710" t="s">
        <v>67</v>
      </c>
      <c r="F710" s="14">
        <v>1607806</v>
      </c>
      <c r="G710" s="14">
        <v>1071870</v>
      </c>
      <c r="H710">
        <f t="shared" si="22"/>
        <v>0</v>
      </c>
      <c r="I710" s="20">
        <f t="shared" si="23"/>
        <v>44166</v>
      </c>
    </row>
    <row r="711" spans="1:9" x14ac:dyDescent="0.2">
      <c r="A711">
        <v>2020</v>
      </c>
      <c r="B711">
        <v>12</v>
      </c>
      <c r="C711" t="s">
        <v>55</v>
      </c>
      <c r="D711" t="s">
        <v>66</v>
      </c>
      <c r="E711" t="s">
        <v>75</v>
      </c>
      <c r="F711" s="14">
        <v>770107</v>
      </c>
      <c r="G711" s="14">
        <v>550077</v>
      </c>
      <c r="H711">
        <f t="shared" si="22"/>
        <v>0</v>
      </c>
      <c r="I711" s="20">
        <f t="shared" si="23"/>
        <v>44166</v>
      </c>
    </row>
    <row r="712" spans="1:9" x14ac:dyDescent="0.2">
      <c r="A712">
        <v>2020</v>
      </c>
      <c r="B712">
        <v>12</v>
      </c>
      <c r="C712" t="s">
        <v>55</v>
      </c>
      <c r="D712" t="s">
        <v>66</v>
      </c>
      <c r="E712" t="s">
        <v>74</v>
      </c>
      <c r="F712" s="14">
        <v>552474</v>
      </c>
      <c r="G712" s="14">
        <v>502249</v>
      </c>
      <c r="H712">
        <f t="shared" si="22"/>
        <v>0</v>
      </c>
      <c r="I712" s="20">
        <f t="shared" si="23"/>
        <v>44166</v>
      </c>
    </row>
    <row r="713" spans="1:9" x14ac:dyDescent="0.2">
      <c r="A713">
        <v>2020</v>
      </c>
      <c r="B713">
        <v>12</v>
      </c>
      <c r="C713" t="s">
        <v>55</v>
      </c>
      <c r="D713" t="s">
        <v>66</v>
      </c>
      <c r="E713" t="s">
        <v>69</v>
      </c>
      <c r="F713" s="14">
        <v>434975</v>
      </c>
      <c r="G713" s="14">
        <v>271858</v>
      </c>
      <c r="H713">
        <f t="shared" si="22"/>
        <v>0</v>
      </c>
      <c r="I713" s="20">
        <f t="shared" si="23"/>
        <v>44166</v>
      </c>
    </row>
    <row r="714" spans="1:9" x14ac:dyDescent="0.2">
      <c r="A714">
        <v>2020</v>
      </c>
      <c r="B714">
        <v>12</v>
      </c>
      <c r="C714" t="s">
        <v>55</v>
      </c>
      <c r="D714" t="s">
        <v>66</v>
      </c>
      <c r="E714" t="s">
        <v>59</v>
      </c>
      <c r="F714" s="14">
        <v>15796</v>
      </c>
      <c r="G714" s="14">
        <v>15796</v>
      </c>
      <c r="H714">
        <f t="shared" si="22"/>
        <v>0</v>
      </c>
      <c r="I714" s="20">
        <f t="shared" si="23"/>
        <v>44166</v>
      </c>
    </row>
    <row r="715" spans="1:9" x14ac:dyDescent="0.2">
      <c r="A715">
        <v>2020</v>
      </c>
      <c r="B715">
        <v>12</v>
      </c>
      <c r="C715" t="s">
        <v>55</v>
      </c>
      <c r="D715" t="s">
        <v>70</v>
      </c>
      <c r="E715" t="s">
        <v>68</v>
      </c>
      <c r="F715" s="14">
        <v>1139952619</v>
      </c>
      <c r="G715" s="14">
        <v>1139952619</v>
      </c>
      <c r="H715">
        <f t="shared" si="22"/>
        <v>0</v>
      </c>
      <c r="I715" s="20">
        <f t="shared" si="23"/>
        <v>44166</v>
      </c>
    </row>
    <row r="716" spans="1:9" x14ac:dyDescent="0.2">
      <c r="A716">
        <v>2020</v>
      </c>
      <c r="B716">
        <v>12</v>
      </c>
      <c r="C716" t="s">
        <v>62</v>
      </c>
      <c r="D716" t="s">
        <v>70</v>
      </c>
      <c r="E716" t="s">
        <v>63</v>
      </c>
      <c r="F716" s="14">
        <v>11034491</v>
      </c>
      <c r="G716" s="14">
        <v>6490877</v>
      </c>
      <c r="H716">
        <f t="shared" si="22"/>
        <v>0</v>
      </c>
      <c r="I716" s="20">
        <f t="shared" si="23"/>
        <v>44166</v>
      </c>
    </row>
    <row r="717" spans="1:9" x14ac:dyDescent="0.2">
      <c r="A717">
        <v>2020</v>
      </c>
      <c r="B717">
        <v>12</v>
      </c>
      <c r="C717" t="s">
        <v>64</v>
      </c>
      <c r="D717" t="s">
        <v>70</v>
      </c>
      <c r="E717" t="s">
        <v>68</v>
      </c>
      <c r="F717" s="14">
        <v>1030705</v>
      </c>
      <c r="G717" s="14">
        <v>1030705</v>
      </c>
      <c r="H717">
        <f t="shared" si="22"/>
        <v>0</v>
      </c>
      <c r="I717" s="20">
        <f t="shared" si="23"/>
        <v>44166</v>
      </c>
    </row>
    <row r="718" spans="1:9" x14ac:dyDescent="0.2">
      <c r="A718">
        <v>2021</v>
      </c>
      <c r="B718">
        <v>1</v>
      </c>
      <c r="C718" t="s">
        <v>55</v>
      </c>
      <c r="D718" t="s">
        <v>56</v>
      </c>
      <c r="E718" t="s">
        <v>59</v>
      </c>
      <c r="F718" s="14">
        <v>3883503</v>
      </c>
      <c r="G718" s="14">
        <v>3883503</v>
      </c>
      <c r="H718">
        <f t="shared" si="22"/>
        <v>0</v>
      </c>
      <c r="I718" s="20">
        <f t="shared" si="23"/>
        <v>44197</v>
      </c>
    </row>
    <row r="719" spans="1:9" x14ac:dyDescent="0.2">
      <c r="A719">
        <v>2021</v>
      </c>
      <c r="B719">
        <v>1</v>
      </c>
      <c r="C719" t="s">
        <v>55</v>
      </c>
      <c r="D719" t="s">
        <v>56</v>
      </c>
      <c r="E719" t="s">
        <v>58</v>
      </c>
      <c r="F719" s="14">
        <v>1179715</v>
      </c>
      <c r="G719" s="14">
        <v>1179715</v>
      </c>
      <c r="H719">
        <f t="shared" si="22"/>
        <v>0</v>
      </c>
      <c r="I719" s="20">
        <f t="shared" si="23"/>
        <v>44197</v>
      </c>
    </row>
    <row r="720" spans="1:9" x14ac:dyDescent="0.2">
      <c r="A720">
        <v>2021</v>
      </c>
      <c r="B720">
        <v>1</v>
      </c>
      <c r="C720" t="s">
        <v>55</v>
      </c>
      <c r="D720" t="s">
        <v>56</v>
      </c>
      <c r="E720" t="s">
        <v>57</v>
      </c>
      <c r="F720" s="14">
        <v>203252</v>
      </c>
      <c r="G720" s="14">
        <v>203252</v>
      </c>
      <c r="H720">
        <f t="shared" si="22"/>
        <v>0</v>
      </c>
      <c r="I720" s="20">
        <f t="shared" si="23"/>
        <v>44197</v>
      </c>
    </row>
    <row r="721" spans="1:9" x14ac:dyDescent="0.2">
      <c r="A721">
        <v>2021</v>
      </c>
      <c r="B721">
        <v>1</v>
      </c>
      <c r="C721" t="s">
        <v>55</v>
      </c>
      <c r="D721" t="s">
        <v>60</v>
      </c>
      <c r="E721" t="s">
        <v>61</v>
      </c>
      <c r="F721" s="14">
        <v>160955805</v>
      </c>
      <c r="G721" s="14">
        <v>107302585</v>
      </c>
      <c r="H721">
        <f t="shared" si="22"/>
        <v>0</v>
      </c>
      <c r="I721" s="20">
        <f t="shared" si="23"/>
        <v>44197</v>
      </c>
    </row>
    <row r="722" spans="1:9" x14ac:dyDescent="0.2">
      <c r="A722">
        <v>2021</v>
      </c>
      <c r="B722">
        <v>1</v>
      </c>
      <c r="C722" t="s">
        <v>55</v>
      </c>
      <c r="D722" t="s">
        <v>60</v>
      </c>
      <c r="E722" t="s">
        <v>63</v>
      </c>
      <c r="F722" s="14">
        <v>70841221</v>
      </c>
      <c r="G722" s="14">
        <v>41671282</v>
      </c>
      <c r="H722">
        <f t="shared" si="22"/>
        <v>0</v>
      </c>
      <c r="I722" s="20">
        <f t="shared" si="23"/>
        <v>44197</v>
      </c>
    </row>
    <row r="723" spans="1:9" x14ac:dyDescent="0.2">
      <c r="A723">
        <v>2021</v>
      </c>
      <c r="B723">
        <v>1</v>
      </c>
      <c r="C723" t="s">
        <v>62</v>
      </c>
      <c r="D723" t="s">
        <v>60</v>
      </c>
      <c r="E723" t="s">
        <v>63</v>
      </c>
      <c r="F723" s="14">
        <v>50603181</v>
      </c>
      <c r="G723" s="14">
        <v>29766577</v>
      </c>
      <c r="H723">
        <f t="shared" si="22"/>
        <v>0</v>
      </c>
      <c r="I723" s="20">
        <f t="shared" si="23"/>
        <v>44197</v>
      </c>
    </row>
    <row r="724" spans="1:9" x14ac:dyDescent="0.2">
      <c r="A724">
        <v>2021</v>
      </c>
      <c r="B724">
        <v>1</v>
      </c>
      <c r="C724" t="s">
        <v>64</v>
      </c>
      <c r="D724" t="s">
        <v>60</v>
      </c>
      <c r="E724" t="s">
        <v>61</v>
      </c>
      <c r="F724" s="14">
        <v>12804373</v>
      </c>
      <c r="G724" s="14">
        <v>8536219</v>
      </c>
      <c r="H724">
        <f t="shared" si="22"/>
        <v>0</v>
      </c>
      <c r="I724" s="20">
        <f t="shared" si="23"/>
        <v>44197</v>
      </c>
    </row>
    <row r="725" spans="1:9" x14ac:dyDescent="0.2">
      <c r="A725">
        <v>2021</v>
      </c>
      <c r="B725">
        <v>1</v>
      </c>
      <c r="C725" t="s">
        <v>64</v>
      </c>
      <c r="D725" t="s">
        <v>60</v>
      </c>
      <c r="E725" t="s">
        <v>63</v>
      </c>
      <c r="F725" s="14">
        <v>4861840</v>
      </c>
      <c r="G725" s="14">
        <v>2859906</v>
      </c>
      <c r="H725">
        <f t="shared" si="22"/>
        <v>0</v>
      </c>
      <c r="I725" s="20">
        <f t="shared" si="23"/>
        <v>44197</v>
      </c>
    </row>
    <row r="726" spans="1:9" x14ac:dyDescent="0.2">
      <c r="A726">
        <v>2021</v>
      </c>
      <c r="B726">
        <v>1</v>
      </c>
      <c r="C726" t="s">
        <v>55</v>
      </c>
      <c r="D726" t="s">
        <v>60</v>
      </c>
      <c r="E726" t="s">
        <v>65</v>
      </c>
      <c r="F726" s="14">
        <v>463720</v>
      </c>
      <c r="G726" s="14">
        <v>289825</v>
      </c>
      <c r="H726">
        <f t="shared" si="22"/>
        <v>1</v>
      </c>
      <c r="I726" s="20">
        <f t="shared" si="23"/>
        <v>44197</v>
      </c>
    </row>
    <row r="727" spans="1:9" x14ac:dyDescent="0.2">
      <c r="A727">
        <v>2021</v>
      </c>
      <c r="B727">
        <v>1</v>
      </c>
      <c r="C727" t="s">
        <v>55</v>
      </c>
      <c r="D727" t="s">
        <v>66</v>
      </c>
      <c r="E727" t="s">
        <v>63</v>
      </c>
      <c r="F727" s="14">
        <v>14795692</v>
      </c>
      <c r="G727" s="14">
        <v>8703348</v>
      </c>
      <c r="H727">
        <f t="shared" si="22"/>
        <v>0</v>
      </c>
      <c r="I727" s="20">
        <f t="shared" si="23"/>
        <v>44197</v>
      </c>
    </row>
    <row r="728" spans="1:9" x14ac:dyDescent="0.2">
      <c r="A728">
        <v>2021</v>
      </c>
      <c r="B728">
        <v>1</v>
      </c>
      <c r="C728" t="s">
        <v>55</v>
      </c>
      <c r="D728" t="s">
        <v>66</v>
      </c>
      <c r="E728" t="s">
        <v>68</v>
      </c>
      <c r="F728" s="14">
        <v>2426841</v>
      </c>
      <c r="G728" s="14">
        <v>2426841</v>
      </c>
      <c r="H728">
        <f t="shared" si="22"/>
        <v>0</v>
      </c>
      <c r="I728" s="20">
        <f t="shared" si="23"/>
        <v>44197</v>
      </c>
    </row>
    <row r="729" spans="1:9" x14ac:dyDescent="0.2">
      <c r="A729">
        <v>2021</v>
      </c>
      <c r="B729">
        <v>1</v>
      </c>
      <c r="C729" t="s">
        <v>55</v>
      </c>
      <c r="D729" t="s">
        <v>66</v>
      </c>
      <c r="E729" t="s">
        <v>67</v>
      </c>
      <c r="F729" s="14">
        <v>2137324</v>
      </c>
      <c r="G729" s="14">
        <v>1424882</v>
      </c>
      <c r="H729">
        <f t="shared" si="22"/>
        <v>0</v>
      </c>
      <c r="I729" s="20">
        <f t="shared" si="23"/>
        <v>44197</v>
      </c>
    </row>
    <row r="730" spans="1:9" x14ac:dyDescent="0.2">
      <c r="A730">
        <v>2021</v>
      </c>
      <c r="B730">
        <v>1</v>
      </c>
      <c r="C730" t="s">
        <v>55</v>
      </c>
      <c r="D730" t="s">
        <v>66</v>
      </c>
      <c r="E730" t="s">
        <v>69</v>
      </c>
      <c r="F730" s="14">
        <v>277332</v>
      </c>
      <c r="G730" s="14">
        <v>173333</v>
      </c>
      <c r="H730">
        <f t="shared" si="22"/>
        <v>0</v>
      </c>
      <c r="I730" s="20">
        <f t="shared" si="23"/>
        <v>44197</v>
      </c>
    </row>
    <row r="731" spans="1:9" x14ac:dyDescent="0.2">
      <c r="A731">
        <v>2021</v>
      </c>
      <c r="B731">
        <v>1</v>
      </c>
      <c r="C731" t="s">
        <v>55</v>
      </c>
      <c r="D731" t="s">
        <v>66</v>
      </c>
      <c r="E731" t="s">
        <v>59</v>
      </c>
      <c r="F731" s="14">
        <v>49137</v>
      </c>
      <c r="G731" s="14">
        <v>49137</v>
      </c>
      <c r="H731">
        <f t="shared" si="22"/>
        <v>0</v>
      </c>
      <c r="I731" s="20">
        <f t="shared" si="23"/>
        <v>44197</v>
      </c>
    </row>
    <row r="732" spans="1:9" x14ac:dyDescent="0.2">
      <c r="A732">
        <v>2021</v>
      </c>
      <c r="B732">
        <v>1</v>
      </c>
      <c r="C732" t="s">
        <v>55</v>
      </c>
      <c r="D732" t="s">
        <v>70</v>
      </c>
      <c r="E732" t="s">
        <v>68</v>
      </c>
      <c r="F732" s="14">
        <v>1072932716</v>
      </c>
      <c r="G732" s="14">
        <v>1072932716</v>
      </c>
      <c r="H732">
        <f t="shared" si="22"/>
        <v>0</v>
      </c>
      <c r="I732" s="20">
        <f t="shared" si="23"/>
        <v>44197</v>
      </c>
    </row>
    <row r="733" spans="1:9" x14ac:dyDescent="0.2">
      <c r="A733">
        <v>2021</v>
      </c>
      <c r="B733">
        <v>1</v>
      </c>
      <c r="C733" t="s">
        <v>62</v>
      </c>
      <c r="D733" t="s">
        <v>70</v>
      </c>
      <c r="E733" t="s">
        <v>63</v>
      </c>
      <c r="F733" s="14">
        <v>5694354</v>
      </c>
      <c r="G733" s="14">
        <v>3349620</v>
      </c>
      <c r="H733">
        <f t="shared" si="22"/>
        <v>0</v>
      </c>
      <c r="I733" s="20">
        <f t="shared" si="23"/>
        <v>44197</v>
      </c>
    </row>
    <row r="734" spans="1:9" x14ac:dyDescent="0.2">
      <c r="A734">
        <v>2021</v>
      </c>
      <c r="B734">
        <v>1</v>
      </c>
      <c r="C734" t="s">
        <v>64</v>
      </c>
      <c r="D734" t="s">
        <v>70</v>
      </c>
      <c r="E734" t="s">
        <v>68</v>
      </c>
      <c r="F734" s="14">
        <v>1008820</v>
      </c>
      <c r="G734" s="14">
        <v>1008820</v>
      </c>
      <c r="H734">
        <f t="shared" si="22"/>
        <v>0</v>
      </c>
      <c r="I734" s="20">
        <f t="shared" si="23"/>
        <v>44197</v>
      </c>
    </row>
    <row r="735" spans="1:9" x14ac:dyDescent="0.2">
      <c r="A735">
        <v>2021</v>
      </c>
      <c r="B735">
        <v>2</v>
      </c>
      <c r="C735" t="s">
        <v>55</v>
      </c>
      <c r="D735" t="s">
        <v>56</v>
      </c>
      <c r="E735" t="s">
        <v>59</v>
      </c>
      <c r="F735" s="14">
        <v>33220960</v>
      </c>
      <c r="G735" s="14">
        <v>33220960</v>
      </c>
      <c r="H735">
        <f t="shared" si="22"/>
        <v>0</v>
      </c>
      <c r="I735" s="20">
        <f t="shared" si="23"/>
        <v>44228</v>
      </c>
    </row>
    <row r="736" spans="1:9" x14ac:dyDescent="0.2">
      <c r="A736">
        <v>2021</v>
      </c>
      <c r="B736">
        <v>2</v>
      </c>
      <c r="C736" t="s">
        <v>55</v>
      </c>
      <c r="D736" t="s">
        <v>56</v>
      </c>
      <c r="E736" t="s">
        <v>58</v>
      </c>
      <c r="F736" s="14">
        <v>5801041</v>
      </c>
      <c r="G736" s="14">
        <v>5801041</v>
      </c>
      <c r="H736">
        <f t="shared" si="22"/>
        <v>0</v>
      </c>
      <c r="I736" s="20">
        <f t="shared" si="23"/>
        <v>44228</v>
      </c>
    </row>
    <row r="737" spans="1:9" x14ac:dyDescent="0.2">
      <c r="A737">
        <v>2021</v>
      </c>
      <c r="B737">
        <v>2</v>
      </c>
      <c r="C737" t="s">
        <v>64</v>
      </c>
      <c r="D737" t="s">
        <v>56</v>
      </c>
      <c r="E737" t="s">
        <v>59</v>
      </c>
      <c r="F737" s="14">
        <v>2921276</v>
      </c>
      <c r="G737" s="14">
        <v>2921276</v>
      </c>
      <c r="H737">
        <f t="shared" si="22"/>
        <v>0</v>
      </c>
      <c r="I737" s="20">
        <f t="shared" si="23"/>
        <v>44228</v>
      </c>
    </row>
    <row r="738" spans="1:9" x14ac:dyDescent="0.2">
      <c r="A738">
        <v>2021</v>
      </c>
      <c r="B738">
        <v>2</v>
      </c>
      <c r="C738" t="s">
        <v>55</v>
      </c>
      <c r="D738" t="s">
        <v>56</v>
      </c>
      <c r="E738" t="s">
        <v>57</v>
      </c>
      <c r="F738" s="14">
        <v>29238</v>
      </c>
      <c r="G738" s="14">
        <v>29238</v>
      </c>
      <c r="H738">
        <f t="shared" si="22"/>
        <v>0</v>
      </c>
      <c r="I738" s="20">
        <f t="shared" si="23"/>
        <v>44228</v>
      </c>
    </row>
    <row r="739" spans="1:9" x14ac:dyDescent="0.2">
      <c r="A739">
        <v>2021</v>
      </c>
      <c r="B739">
        <v>2</v>
      </c>
      <c r="C739" t="s">
        <v>55</v>
      </c>
      <c r="D739" t="s">
        <v>60</v>
      </c>
      <c r="E739" t="s">
        <v>61</v>
      </c>
      <c r="F739" s="14">
        <v>164823473</v>
      </c>
      <c r="G739" s="14">
        <v>109881050</v>
      </c>
      <c r="H739">
        <f t="shared" si="22"/>
        <v>0</v>
      </c>
      <c r="I739" s="20">
        <f t="shared" si="23"/>
        <v>44228</v>
      </c>
    </row>
    <row r="740" spans="1:9" x14ac:dyDescent="0.2">
      <c r="A740">
        <v>2021</v>
      </c>
      <c r="B740">
        <v>2</v>
      </c>
      <c r="C740" t="s">
        <v>55</v>
      </c>
      <c r="D740" t="s">
        <v>60</v>
      </c>
      <c r="E740" t="s">
        <v>63</v>
      </c>
      <c r="F740" s="14">
        <v>79379488</v>
      </c>
      <c r="G740" s="14">
        <v>46693788</v>
      </c>
      <c r="H740">
        <f t="shared" si="22"/>
        <v>0</v>
      </c>
      <c r="I740" s="20">
        <f t="shared" si="23"/>
        <v>44228</v>
      </c>
    </row>
    <row r="741" spans="1:9" x14ac:dyDescent="0.2">
      <c r="A741">
        <v>2021</v>
      </c>
      <c r="B741">
        <v>2</v>
      </c>
      <c r="C741" t="s">
        <v>62</v>
      </c>
      <c r="D741" t="s">
        <v>60</v>
      </c>
      <c r="E741" t="s">
        <v>63</v>
      </c>
      <c r="F741" s="14">
        <v>46700247</v>
      </c>
      <c r="G741" s="14">
        <v>27470733</v>
      </c>
      <c r="H741">
        <f t="shared" si="22"/>
        <v>0</v>
      </c>
      <c r="I741" s="20">
        <f t="shared" si="23"/>
        <v>44228</v>
      </c>
    </row>
    <row r="742" spans="1:9" x14ac:dyDescent="0.2">
      <c r="A742">
        <v>2021</v>
      </c>
      <c r="B742">
        <v>2</v>
      </c>
      <c r="C742" t="s">
        <v>64</v>
      </c>
      <c r="D742" t="s">
        <v>60</v>
      </c>
      <c r="E742" t="s">
        <v>61</v>
      </c>
      <c r="F742" s="14">
        <v>11492452</v>
      </c>
      <c r="G742" s="14">
        <v>7661613</v>
      </c>
      <c r="H742">
        <f t="shared" si="22"/>
        <v>0</v>
      </c>
      <c r="I742" s="20">
        <f t="shared" si="23"/>
        <v>44228</v>
      </c>
    </row>
    <row r="743" spans="1:9" x14ac:dyDescent="0.2">
      <c r="A743">
        <v>2021</v>
      </c>
      <c r="B743">
        <v>2</v>
      </c>
      <c r="C743" t="s">
        <v>62</v>
      </c>
      <c r="D743" t="s">
        <v>60</v>
      </c>
      <c r="E743" t="s">
        <v>76</v>
      </c>
      <c r="F743" s="14">
        <v>3534288</v>
      </c>
      <c r="G743" s="14">
        <v>2208930</v>
      </c>
      <c r="H743">
        <f t="shared" si="22"/>
        <v>0</v>
      </c>
      <c r="I743" s="20">
        <f t="shared" si="23"/>
        <v>44228</v>
      </c>
    </row>
    <row r="744" spans="1:9" x14ac:dyDescent="0.2">
      <c r="A744">
        <v>2021</v>
      </c>
      <c r="B744">
        <v>2</v>
      </c>
      <c r="C744" t="s">
        <v>55</v>
      </c>
      <c r="D744" t="s">
        <v>60</v>
      </c>
      <c r="E744" t="s">
        <v>65</v>
      </c>
      <c r="F744" s="14">
        <v>471560</v>
      </c>
      <c r="G744" s="14">
        <v>294725</v>
      </c>
      <c r="H744">
        <f t="shared" si="22"/>
        <v>1</v>
      </c>
      <c r="I744" s="20">
        <f t="shared" si="23"/>
        <v>44228</v>
      </c>
    </row>
    <row r="745" spans="1:9" x14ac:dyDescent="0.2">
      <c r="A745">
        <v>2021</v>
      </c>
      <c r="B745">
        <v>2</v>
      </c>
      <c r="C745" t="s">
        <v>55</v>
      </c>
      <c r="D745" t="s">
        <v>66</v>
      </c>
      <c r="E745" t="s">
        <v>63</v>
      </c>
      <c r="F745" s="14">
        <v>7619268</v>
      </c>
      <c r="G745" s="14">
        <v>4481922</v>
      </c>
      <c r="H745">
        <f t="shared" si="22"/>
        <v>0</v>
      </c>
      <c r="I745" s="20">
        <f t="shared" si="23"/>
        <v>44228</v>
      </c>
    </row>
    <row r="746" spans="1:9" x14ac:dyDescent="0.2">
      <c r="A746">
        <v>2021</v>
      </c>
      <c r="B746">
        <v>2</v>
      </c>
      <c r="C746" t="s">
        <v>55</v>
      </c>
      <c r="D746" t="s">
        <v>66</v>
      </c>
      <c r="E746" t="s">
        <v>67</v>
      </c>
      <c r="F746" s="14">
        <v>2376332</v>
      </c>
      <c r="G746" s="14">
        <v>1584219</v>
      </c>
      <c r="H746">
        <f t="shared" si="22"/>
        <v>0</v>
      </c>
      <c r="I746" s="20">
        <f t="shared" si="23"/>
        <v>44228</v>
      </c>
    </row>
    <row r="747" spans="1:9" x14ac:dyDescent="0.2">
      <c r="A747">
        <v>2021</v>
      </c>
      <c r="B747">
        <v>2</v>
      </c>
      <c r="C747" t="s">
        <v>55</v>
      </c>
      <c r="D747" t="s">
        <v>66</v>
      </c>
      <c r="E747" t="s">
        <v>68</v>
      </c>
      <c r="F747" s="14">
        <v>1464560</v>
      </c>
      <c r="G747" s="14">
        <v>1464560</v>
      </c>
      <c r="H747">
        <f t="shared" si="22"/>
        <v>0</v>
      </c>
      <c r="I747" s="20">
        <f t="shared" si="23"/>
        <v>44228</v>
      </c>
    </row>
    <row r="748" spans="1:9" x14ac:dyDescent="0.2">
      <c r="A748">
        <v>2021</v>
      </c>
      <c r="B748">
        <v>2</v>
      </c>
      <c r="C748" t="s">
        <v>55</v>
      </c>
      <c r="D748" t="s">
        <v>66</v>
      </c>
      <c r="E748" t="s">
        <v>75</v>
      </c>
      <c r="F748" s="14">
        <v>500424</v>
      </c>
      <c r="G748" s="14">
        <v>357446</v>
      </c>
      <c r="H748">
        <f t="shared" si="22"/>
        <v>0</v>
      </c>
      <c r="I748" s="20">
        <f t="shared" si="23"/>
        <v>44228</v>
      </c>
    </row>
    <row r="749" spans="1:9" x14ac:dyDescent="0.2">
      <c r="A749">
        <v>2021</v>
      </c>
      <c r="B749">
        <v>2</v>
      </c>
      <c r="C749" t="s">
        <v>55</v>
      </c>
      <c r="D749" t="s">
        <v>66</v>
      </c>
      <c r="E749" t="s">
        <v>69</v>
      </c>
      <c r="F749" s="14">
        <v>305358</v>
      </c>
      <c r="G749" s="14">
        <v>190850</v>
      </c>
      <c r="H749">
        <f t="shared" si="22"/>
        <v>0</v>
      </c>
      <c r="I749" s="20">
        <f t="shared" si="23"/>
        <v>44228</v>
      </c>
    </row>
    <row r="750" spans="1:9" x14ac:dyDescent="0.2">
      <c r="A750">
        <v>2021</v>
      </c>
      <c r="B750">
        <v>2</v>
      </c>
      <c r="C750" t="s">
        <v>55</v>
      </c>
      <c r="D750" t="s">
        <v>66</v>
      </c>
      <c r="E750" t="s">
        <v>74</v>
      </c>
      <c r="F750" s="14">
        <v>292776</v>
      </c>
      <c r="G750" s="14">
        <v>266160</v>
      </c>
      <c r="H750">
        <f t="shared" si="22"/>
        <v>0</v>
      </c>
      <c r="I750" s="20">
        <f t="shared" si="23"/>
        <v>44228</v>
      </c>
    </row>
    <row r="751" spans="1:9" x14ac:dyDescent="0.2">
      <c r="A751">
        <v>2021</v>
      </c>
      <c r="B751">
        <v>2</v>
      </c>
      <c r="C751" t="s">
        <v>55</v>
      </c>
      <c r="D751" t="s">
        <v>66</v>
      </c>
      <c r="E751" t="s">
        <v>59</v>
      </c>
      <c r="F751" s="14">
        <v>6860</v>
      </c>
      <c r="G751" s="14">
        <v>6860</v>
      </c>
      <c r="H751">
        <f t="shared" si="22"/>
        <v>0</v>
      </c>
      <c r="I751" s="20">
        <f t="shared" si="23"/>
        <v>44228</v>
      </c>
    </row>
    <row r="752" spans="1:9" x14ac:dyDescent="0.2">
      <c r="A752">
        <v>2021</v>
      </c>
      <c r="B752">
        <v>2</v>
      </c>
      <c r="C752" t="s">
        <v>55</v>
      </c>
      <c r="D752" t="s">
        <v>70</v>
      </c>
      <c r="E752" t="s">
        <v>68</v>
      </c>
      <c r="F752" s="14">
        <v>889096390</v>
      </c>
      <c r="G752" s="14">
        <v>889096390</v>
      </c>
      <c r="H752">
        <f t="shared" si="22"/>
        <v>0</v>
      </c>
      <c r="I752" s="20">
        <f t="shared" si="23"/>
        <v>44228</v>
      </c>
    </row>
    <row r="753" spans="1:9" x14ac:dyDescent="0.2">
      <c r="A753">
        <v>2021</v>
      </c>
      <c r="B753">
        <v>2</v>
      </c>
      <c r="C753" t="s">
        <v>62</v>
      </c>
      <c r="D753" t="s">
        <v>70</v>
      </c>
      <c r="E753" t="s">
        <v>63</v>
      </c>
      <c r="F753" s="14">
        <v>13034561</v>
      </c>
      <c r="G753" s="14">
        <v>7667389</v>
      </c>
      <c r="H753">
        <f t="shared" si="22"/>
        <v>0</v>
      </c>
      <c r="I753" s="20">
        <f t="shared" si="23"/>
        <v>44228</v>
      </c>
    </row>
    <row r="754" spans="1:9" x14ac:dyDescent="0.2">
      <c r="A754">
        <v>2021</v>
      </c>
      <c r="B754">
        <v>2</v>
      </c>
      <c r="C754" t="s">
        <v>64</v>
      </c>
      <c r="D754" t="s">
        <v>70</v>
      </c>
      <c r="E754" t="s">
        <v>68</v>
      </c>
      <c r="F754" s="14">
        <v>920519</v>
      </c>
      <c r="G754" s="14">
        <v>920519</v>
      </c>
      <c r="H754">
        <f t="shared" si="22"/>
        <v>0</v>
      </c>
      <c r="I754" s="20">
        <f t="shared" si="23"/>
        <v>44228</v>
      </c>
    </row>
    <row r="755" spans="1:9" x14ac:dyDescent="0.2">
      <c r="A755">
        <v>2021</v>
      </c>
      <c r="B755">
        <v>3</v>
      </c>
      <c r="C755" t="s">
        <v>55</v>
      </c>
      <c r="D755" t="s">
        <v>56</v>
      </c>
      <c r="E755" t="s">
        <v>59</v>
      </c>
      <c r="F755" s="14">
        <v>27903102</v>
      </c>
      <c r="G755" s="14">
        <v>27903102</v>
      </c>
      <c r="H755">
        <f t="shared" si="22"/>
        <v>0</v>
      </c>
      <c r="I755" s="20">
        <f t="shared" si="23"/>
        <v>44256</v>
      </c>
    </row>
    <row r="756" spans="1:9" x14ac:dyDescent="0.2">
      <c r="A756">
        <v>2021</v>
      </c>
      <c r="B756">
        <v>3</v>
      </c>
      <c r="C756" t="s">
        <v>55</v>
      </c>
      <c r="D756" t="s">
        <v>56</v>
      </c>
      <c r="E756" t="s">
        <v>58</v>
      </c>
      <c r="F756" s="14">
        <v>6042256</v>
      </c>
      <c r="G756" s="14">
        <v>6042256</v>
      </c>
      <c r="H756">
        <f t="shared" si="22"/>
        <v>0</v>
      </c>
      <c r="I756" s="20">
        <f t="shared" si="23"/>
        <v>44256</v>
      </c>
    </row>
    <row r="757" spans="1:9" x14ac:dyDescent="0.2">
      <c r="A757">
        <v>2021</v>
      </c>
      <c r="B757">
        <v>3</v>
      </c>
      <c r="C757" t="s">
        <v>64</v>
      </c>
      <c r="D757" t="s">
        <v>56</v>
      </c>
      <c r="E757" t="s">
        <v>59</v>
      </c>
      <c r="F757" s="14">
        <v>2817231</v>
      </c>
      <c r="G757" s="14">
        <v>2817231</v>
      </c>
      <c r="H757">
        <f t="shared" si="22"/>
        <v>0</v>
      </c>
      <c r="I757" s="20">
        <f t="shared" si="23"/>
        <v>44256</v>
      </c>
    </row>
    <row r="758" spans="1:9" x14ac:dyDescent="0.2">
      <c r="A758">
        <v>2021</v>
      </c>
      <c r="B758">
        <v>3</v>
      </c>
      <c r="C758" t="s">
        <v>55</v>
      </c>
      <c r="D758" t="s">
        <v>60</v>
      </c>
      <c r="E758" t="s">
        <v>61</v>
      </c>
      <c r="F758" s="14">
        <v>225508051</v>
      </c>
      <c r="G758" s="14">
        <v>150336910</v>
      </c>
      <c r="H758">
        <f t="shared" si="22"/>
        <v>0</v>
      </c>
      <c r="I758" s="20">
        <f t="shared" si="23"/>
        <v>44256</v>
      </c>
    </row>
    <row r="759" spans="1:9" x14ac:dyDescent="0.2">
      <c r="A759">
        <v>2021</v>
      </c>
      <c r="B759">
        <v>3</v>
      </c>
      <c r="C759" t="s">
        <v>55</v>
      </c>
      <c r="D759" t="s">
        <v>60</v>
      </c>
      <c r="E759" t="s">
        <v>63</v>
      </c>
      <c r="F759" s="14">
        <v>93765137</v>
      </c>
      <c r="G759" s="14">
        <v>55155941</v>
      </c>
      <c r="H759">
        <f t="shared" si="22"/>
        <v>0</v>
      </c>
      <c r="I759" s="20">
        <f t="shared" si="23"/>
        <v>44256</v>
      </c>
    </row>
    <row r="760" spans="1:9" x14ac:dyDescent="0.2">
      <c r="A760">
        <v>2021</v>
      </c>
      <c r="B760">
        <v>3</v>
      </c>
      <c r="C760" t="s">
        <v>62</v>
      </c>
      <c r="D760" t="s">
        <v>60</v>
      </c>
      <c r="E760" t="s">
        <v>63</v>
      </c>
      <c r="F760" s="14">
        <v>65149041</v>
      </c>
      <c r="G760" s="14">
        <v>38322965</v>
      </c>
      <c r="H760">
        <f t="shared" si="22"/>
        <v>0</v>
      </c>
      <c r="I760" s="20">
        <f t="shared" si="23"/>
        <v>44256</v>
      </c>
    </row>
    <row r="761" spans="1:9" x14ac:dyDescent="0.2">
      <c r="A761">
        <v>2021</v>
      </c>
      <c r="B761">
        <v>3</v>
      </c>
      <c r="C761" t="s">
        <v>64</v>
      </c>
      <c r="D761" t="s">
        <v>60</v>
      </c>
      <c r="E761" t="s">
        <v>61</v>
      </c>
      <c r="F761" s="14">
        <v>22720501</v>
      </c>
      <c r="G761" s="14">
        <v>15146974</v>
      </c>
      <c r="H761">
        <f t="shared" si="22"/>
        <v>0</v>
      </c>
      <c r="I761" s="20">
        <f t="shared" si="23"/>
        <v>44256</v>
      </c>
    </row>
    <row r="762" spans="1:9" x14ac:dyDescent="0.2">
      <c r="A762">
        <v>2021</v>
      </c>
      <c r="B762">
        <v>3</v>
      </c>
      <c r="C762" t="s">
        <v>55</v>
      </c>
      <c r="D762" t="s">
        <v>60</v>
      </c>
      <c r="E762" t="s">
        <v>65</v>
      </c>
      <c r="F762" s="14">
        <v>462249</v>
      </c>
      <c r="G762" s="14">
        <v>288906</v>
      </c>
      <c r="H762">
        <f t="shared" si="22"/>
        <v>1</v>
      </c>
      <c r="I762" s="20">
        <f t="shared" si="23"/>
        <v>44256</v>
      </c>
    </row>
    <row r="763" spans="1:9" x14ac:dyDescent="0.2">
      <c r="A763">
        <v>2021</v>
      </c>
      <c r="B763">
        <v>3</v>
      </c>
      <c r="C763" t="s">
        <v>55</v>
      </c>
      <c r="D763" t="s">
        <v>66</v>
      </c>
      <c r="E763" t="s">
        <v>63</v>
      </c>
      <c r="F763" s="14">
        <v>6912356</v>
      </c>
      <c r="G763" s="14">
        <v>4066092</v>
      </c>
      <c r="H763">
        <f t="shared" si="22"/>
        <v>0</v>
      </c>
      <c r="I763" s="20">
        <f t="shared" si="23"/>
        <v>44256</v>
      </c>
    </row>
    <row r="764" spans="1:9" x14ac:dyDescent="0.2">
      <c r="A764">
        <v>2021</v>
      </c>
      <c r="B764">
        <v>3</v>
      </c>
      <c r="C764" t="s">
        <v>55</v>
      </c>
      <c r="D764" t="s">
        <v>66</v>
      </c>
      <c r="E764" t="s">
        <v>68</v>
      </c>
      <c r="F764" s="14">
        <v>2445094</v>
      </c>
      <c r="G764" s="14">
        <v>2445094</v>
      </c>
      <c r="H764">
        <f t="shared" si="22"/>
        <v>0</v>
      </c>
      <c r="I764" s="20">
        <f t="shared" si="23"/>
        <v>44256</v>
      </c>
    </row>
    <row r="765" spans="1:9" x14ac:dyDescent="0.2">
      <c r="A765">
        <v>2021</v>
      </c>
      <c r="B765">
        <v>3</v>
      </c>
      <c r="C765" t="s">
        <v>55</v>
      </c>
      <c r="D765" t="s">
        <v>66</v>
      </c>
      <c r="E765" t="s">
        <v>67</v>
      </c>
      <c r="F765" s="14">
        <v>1998426</v>
      </c>
      <c r="G765" s="14">
        <v>1332282</v>
      </c>
      <c r="H765">
        <f t="shared" si="22"/>
        <v>0</v>
      </c>
      <c r="I765" s="20">
        <f t="shared" si="23"/>
        <v>44256</v>
      </c>
    </row>
    <row r="766" spans="1:9" x14ac:dyDescent="0.2">
      <c r="A766">
        <v>2021</v>
      </c>
      <c r="B766">
        <v>3</v>
      </c>
      <c r="C766" t="s">
        <v>55</v>
      </c>
      <c r="D766" t="s">
        <v>66</v>
      </c>
      <c r="E766" t="s">
        <v>69</v>
      </c>
      <c r="F766" s="14">
        <v>291471</v>
      </c>
      <c r="G766" s="14">
        <v>182168</v>
      </c>
      <c r="H766">
        <f t="shared" si="22"/>
        <v>0</v>
      </c>
      <c r="I766" s="20">
        <f t="shared" si="23"/>
        <v>44256</v>
      </c>
    </row>
    <row r="767" spans="1:9" x14ac:dyDescent="0.2">
      <c r="A767">
        <v>2021</v>
      </c>
      <c r="B767">
        <v>3</v>
      </c>
      <c r="C767" t="s">
        <v>55</v>
      </c>
      <c r="D767" t="s">
        <v>66</v>
      </c>
      <c r="E767" t="s">
        <v>75</v>
      </c>
      <c r="F767" s="14">
        <v>221393</v>
      </c>
      <c r="G767" s="14">
        <v>158138</v>
      </c>
      <c r="H767">
        <f t="shared" si="22"/>
        <v>0</v>
      </c>
      <c r="I767" s="20">
        <f t="shared" si="23"/>
        <v>44256</v>
      </c>
    </row>
    <row r="768" spans="1:9" x14ac:dyDescent="0.2">
      <c r="A768">
        <v>2021</v>
      </c>
      <c r="B768">
        <v>3</v>
      </c>
      <c r="C768" t="s">
        <v>55</v>
      </c>
      <c r="D768" t="s">
        <v>66</v>
      </c>
      <c r="E768" t="s">
        <v>74</v>
      </c>
      <c r="F768" s="14">
        <v>149615</v>
      </c>
      <c r="G768" s="14">
        <v>136014</v>
      </c>
      <c r="H768">
        <f t="shared" si="22"/>
        <v>0</v>
      </c>
      <c r="I768" s="20">
        <f t="shared" si="23"/>
        <v>44256</v>
      </c>
    </row>
    <row r="769" spans="1:9" x14ac:dyDescent="0.2">
      <c r="A769">
        <v>2021</v>
      </c>
      <c r="B769">
        <v>3</v>
      </c>
      <c r="C769" t="s">
        <v>55</v>
      </c>
      <c r="D769" t="s">
        <v>66</v>
      </c>
      <c r="E769" t="s">
        <v>59</v>
      </c>
      <c r="F769" s="14">
        <v>8056</v>
      </c>
      <c r="G769" s="14">
        <v>8056</v>
      </c>
      <c r="H769">
        <f t="shared" si="22"/>
        <v>0</v>
      </c>
      <c r="I769" s="20">
        <f t="shared" si="23"/>
        <v>44256</v>
      </c>
    </row>
    <row r="770" spans="1:9" x14ac:dyDescent="0.2">
      <c r="A770">
        <v>2021</v>
      </c>
      <c r="B770">
        <v>3</v>
      </c>
      <c r="C770" t="s">
        <v>55</v>
      </c>
      <c r="D770" t="s">
        <v>70</v>
      </c>
      <c r="E770" t="s">
        <v>68</v>
      </c>
      <c r="F770" s="14">
        <v>1175862799</v>
      </c>
      <c r="G770" s="14">
        <v>1175862799</v>
      </c>
      <c r="H770">
        <f t="shared" si="22"/>
        <v>0</v>
      </c>
      <c r="I770" s="20">
        <f t="shared" si="23"/>
        <v>44256</v>
      </c>
    </row>
    <row r="771" spans="1:9" x14ac:dyDescent="0.2">
      <c r="A771">
        <v>2021</v>
      </c>
      <c r="B771">
        <v>3</v>
      </c>
      <c r="C771" t="s">
        <v>62</v>
      </c>
      <c r="D771" t="s">
        <v>70</v>
      </c>
      <c r="E771" t="s">
        <v>63</v>
      </c>
      <c r="F771" s="14">
        <v>14020086</v>
      </c>
      <c r="G771" s="14">
        <v>8247110</v>
      </c>
      <c r="H771">
        <f t="shared" ref="H771:H834" si="24">--ISNUMBER(SEARCH("Jet Fuel",E771))</f>
        <v>0</v>
      </c>
      <c r="I771" s="20">
        <f t="shared" ref="I771:I834" si="25">DATE(A771,B771,1)</f>
        <v>44256</v>
      </c>
    </row>
    <row r="772" spans="1:9" x14ac:dyDescent="0.2">
      <c r="A772">
        <v>2021</v>
      </c>
      <c r="B772">
        <v>3</v>
      </c>
      <c r="C772" t="s">
        <v>64</v>
      </c>
      <c r="D772" t="s">
        <v>70</v>
      </c>
      <c r="E772" t="s">
        <v>68</v>
      </c>
      <c r="F772" s="14">
        <v>1036534</v>
      </c>
      <c r="G772" s="14">
        <v>1036534</v>
      </c>
      <c r="H772">
        <f t="shared" si="24"/>
        <v>0</v>
      </c>
      <c r="I772" s="20">
        <f t="shared" si="25"/>
        <v>44256</v>
      </c>
    </row>
    <row r="773" spans="1:9" x14ac:dyDescent="0.2">
      <c r="A773">
        <v>2021</v>
      </c>
      <c r="B773">
        <v>4</v>
      </c>
      <c r="C773" t="s">
        <v>55</v>
      </c>
      <c r="D773" t="s">
        <v>56</v>
      </c>
      <c r="E773" t="s">
        <v>59</v>
      </c>
      <c r="F773" s="14">
        <v>34802958</v>
      </c>
      <c r="G773" s="14">
        <v>34802958</v>
      </c>
      <c r="H773">
        <f t="shared" si="24"/>
        <v>0</v>
      </c>
      <c r="I773" s="20">
        <f t="shared" si="25"/>
        <v>44287</v>
      </c>
    </row>
    <row r="774" spans="1:9" x14ac:dyDescent="0.2">
      <c r="A774">
        <v>2021</v>
      </c>
      <c r="B774">
        <v>4</v>
      </c>
      <c r="C774" t="s">
        <v>55</v>
      </c>
      <c r="D774" t="s">
        <v>56</v>
      </c>
      <c r="E774" t="s">
        <v>58</v>
      </c>
      <c r="F774" s="14">
        <v>5822780</v>
      </c>
      <c r="G774" s="14">
        <v>5822780</v>
      </c>
      <c r="H774">
        <f t="shared" si="24"/>
        <v>0</v>
      </c>
      <c r="I774" s="20">
        <f t="shared" si="25"/>
        <v>44287</v>
      </c>
    </row>
    <row r="775" spans="1:9" x14ac:dyDescent="0.2">
      <c r="A775">
        <v>2021</v>
      </c>
      <c r="B775">
        <v>4</v>
      </c>
      <c r="C775" t="s">
        <v>64</v>
      </c>
      <c r="D775" t="s">
        <v>56</v>
      </c>
      <c r="E775" t="s">
        <v>59</v>
      </c>
      <c r="F775" s="14">
        <v>3158143</v>
      </c>
      <c r="G775" s="14">
        <v>3158143</v>
      </c>
      <c r="H775">
        <f t="shared" si="24"/>
        <v>0</v>
      </c>
      <c r="I775" s="20">
        <f t="shared" si="25"/>
        <v>44287</v>
      </c>
    </row>
    <row r="776" spans="1:9" x14ac:dyDescent="0.2">
      <c r="A776">
        <v>2021</v>
      </c>
      <c r="B776">
        <v>4</v>
      </c>
      <c r="C776" t="s">
        <v>55</v>
      </c>
      <c r="D776" t="s">
        <v>60</v>
      </c>
      <c r="E776" t="s">
        <v>61</v>
      </c>
      <c r="F776" s="14">
        <v>216597806</v>
      </c>
      <c r="G776" s="14">
        <v>144396494</v>
      </c>
      <c r="H776">
        <f t="shared" si="24"/>
        <v>0</v>
      </c>
      <c r="I776" s="20">
        <f t="shared" si="25"/>
        <v>44287</v>
      </c>
    </row>
    <row r="777" spans="1:9" x14ac:dyDescent="0.2">
      <c r="A777">
        <v>2021</v>
      </c>
      <c r="B777">
        <v>4</v>
      </c>
      <c r="C777" t="s">
        <v>55</v>
      </c>
      <c r="D777" t="s">
        <v>60</v>
      </c>
      <c r="E777" t="s">
        <v>63</v>
      </c>
      <c r="F777" s="14">
        <v>80883480</v>
      </c>
      <c r="G777" s="14">
        <v>47578471</v>
      </c>
      <c r="H777">
        <f t="shared" si="24"/>
        <v>0</v>
      </c>
      <c r="I777" s="20">
        <f t="shared" si="25"/>
        <v>44287</v>
      </c>
    </row>
    <row r="778" spans="1:9" x14ac:dyDescent="0.2">
      <c r="A778">
        <v>2021</v>
      </c>
      <c r="B778">
        <v>4</v>
      </c>
      <c r="C778" t="s">
        <v>62</v>
      </c>
      <c r="D778" t="s">
        <v>60</v>
      </c>
      <c r="E778" t="s">
        <v>63</v>
      </c>
      <c r="F778" s="14">
        <v>59130539</v>
      </c>
      <c r="G778" s="14">
        <v>34782670</v>
      </c>
      <c r="H778">
        <f t="shared" si="24"/>
        <v>0</v>
      </c>
      <c r="I778" s="20">
        <f t="shared" si="25"/>
        <v>44287</v>
      </c>
    </row>
    <row r="779" spans="1:9" x14ac:dyDescent="0.2">
      <c r="A779">
        <v>2021</v>
      </c>
      <c r="B779">
        <v>4</v>
      </c>
      <c r="C779" t="s">
        <v>64</v>
      </c>
      <c r="D779" t="s">
        <v>60</v>
      </c>
      <c r="E779" t="s">
        <v>61</v>
      </c>
      <c r="F779" s="14">
        <v>26004968</v>
      </c>
      <c r="G779" s="14">
        <v>17336621</v>
      </c>
      <c r="H779">
        <f t="shared" si="24"/>
        <v>0</v>
      </c>
      <c r="I779" s="20">
        <f t="shared" si="25"/>
        <v>44287</v>
      </c>
    </row>
    <row r="780" spans="1:9" x14ac:dyDescent="0.2">
      <c r="A780">
        <v>2021</v>
      </c>
      <c r="B780">
        <v>4</v>
      </c>
      <c r="C780" t="s">
        <v>62</v>
      </c>
      <c r="D780" t="s">
        <v>60</v>
      </c>
      <c r="E780" t="s">
        <v>76</v>
      </c>
      <c r="F780" s="14">
        <v>3356717</v>
      </c>
      <c r="G780" s="14">
        <v>2097948</v>
      </c>
      <c r="H780">
        <f t="shared" si="24"/>
        <v>0</v>
      </c>
      <c r="I780" s="20">
        <f t="shared" si="25"/>
        <v>44287</v>
      </c>
    </row>
    <row r="781" spans="1:9" x14ac:dyDescent="0.2">
      <c r="A781">
        <v>2021</v>
      </c>
      <c r="B781">
        <v>4</v>
      </c>
      <c r="C781" t="s">
        <v>55</v>
      </c>
      <c r="D781" t="s">
        <v>60</v>
      </c>
      <c r="E781" t="s">
        <v>65</v>
      </c>
      <c r="F781" s="14">
        <v>469263</v>
      </c>
      <c r="G781" s="14">
        <v>293289</v>
      </c>
      <c r="H781">
        <f t="shared" si="24"/>
        <v>1</v>
      </c>
      <c r="I781" s="20">
        <f t="shared" si="25"/>
        <v>44287</v>
      </c>
    </row>
    <row r="782" spans="1:9" x14ac:dyDescent="0.2">
      <c r="A782">
        <v>2021</v>
      </c>
      <c r="B782">
        <v>4</v>
      </c>
      <c r="C782" t="s">
        <v>55</v>
      </c>
      <c r="D782" t="s">
        <v>66</v>
      </c>
      <c r="E782" t="s">
        <v>63</v>
      </c>
      <c r="F782" s="14">
        <v>5195137</v>
      </c>
      <c r="G782" s="14">
        <v>3055962</v>
      </c>
      <c r="H782">
        <f t="shared" si="24"/>
        <v>0</v>
      </c>
      <c r="I782" s="20">
        <f t="shared" si="25"/>
        <v>44287</v>
      </c>
    </row>
    <row r="783" spans="1:9" x14ac:dyDescent="0.2">
      <c r="A783">
        <v>2021</v>
      </c>
      <c r="B783">
        <v>4</v>
      </c>
      <c r="C783" t="s">
        <v>55</v>
      </c>
      <c r="D783" t="s">
        <v>66</v>
      </c>
      <c r="E783" t="s">
        <v>68</v>
      </c>
      <c r="F783" s="14">
        <v>2129916</v>
      </c>
      <c r="G783" s="14">
        <v>2129916</v>
      </c>
      <c r="H783">
        <f t="shared" si="24"/>
        <v>0</v>
      </c>
      <c r="I783" s="20">
        <f t="shared" si="25"/>
        <v>44287</v>
      </c>
    </row>
    <row r="784" spans="1:9" x14ac:dyDescent="0.2">
      <c r="A784">
        <v>2021</v>
      </c>
      <c r="B784">
        <v>4</v>
      </c>
      <c r="C784" t="s">
        <v>55</v>
      </c>
      <c r="D784" t="s">
        <v>66</v>
      </c>
      <c r="E784" t="s">
        <v>67</v>
      </c>
      <c r="F784" s="14">
        <v>1634333</v>
      </c>
      <c r="G784" s="14">
        <v>1089554</v>
      </c>
      <c r="H784">
        <f t="shared" si="24"/>
        <v>0</v>
      </c>
      <c r="I784" s="20">
        <f t="shared" si="25"/>
        <v>44287</v>
      </c>
    </row>
    <row r="785" spans="1:9" x14ac:dyDescent="0.2">
      <c r="A785">
        <v>2021</v>
      </c>
      <c r="B785">
        <v>4</v>
      </c>
      <c r="C785" t="s">
        <v>55</v>
      </c>
      <c r="D785" t="s">
        <v>66</v>
      </c>
      <c r="E785" t="s">
        <v>74</v>
      </c>
      <c r="F785" s="14">
        <v>256565</v>
      </c>
      <c r="G785" s="14">
        <v>233241</v>
      </c>
      <c r="H785">
        <f t="shared" si="24"/>
        <v>0</v>
      </c>
      <c r="I785" s="20">
        <f t="shared" si="25"/>
        <v>44287</v>
      </c>
    </row>
    <row r="786" spans="1:9" x14ac:dyDescent="0.2">
      <c r="A786">
        <v>2021</v>
      </c>
      <c r="B786">
        <v>4</v>
      </c>
      <c r="C786" t="s">
        <v>55</v>
      </c>
      <c r="D786" t="s">
        <v>66</v>
      </c>
      <c r="E786" t="s">
        <v>69</v>
      </c>
      <c r="F786" s="14">
        <v>195305</v>
      </c>
      <c r="G786" s="14">
        <v>122065</v>
      </c>
      <c r="H786">
        <f t="shared" si="24"/>
        <v>0</v>
      </c>
      <c r="I786" s="20">
        <f t="shared" si="25"/>
        <v>44287</v>
      </c>
    </row>
    <row r="787" spans="1:9" x14ac:dyDescent="0.2">
      <c r="A787">
        <v>2021</v>
      </c>
      <c r="B787">
        <v>4</v>
      </c>
      <c r="C787" t="s">
        <v>55</v>
      </c>
      <c r="D787" t="s">
        <v>66</v>
      </c>
      <c r="E787" t="s">
        <v>75</v>
      </c>
      <c r="F787" s="14">
        <v>72971</v>
      </c>
      <c r="G787" s="14">
        <v>52122</v>
      </c>
      <c r="H787">
        <f t="shared" si="24"/>
        <v>0</v>
      </c>
      <c r="I787" s="20">
        <f t="shared" si="25"/>
        <v>44287</v>
      </c>
    </row>
    <row r="788" spans="1:9" x14ac:dyDescent="0.2">
      <c r="A788">
        <v>2021</v>
      </c>
      <c r="B788">
        <v>4</v>
      </c>
      <c r="C788" t="s">
        <v>55</v>
      </c>
      <c r="D788" t="s">
        <v>66</v>
      </c>
      <c r="E788" t="s">
        <v>59</v>
      </c>
      <c r="F788" s="14">
        <v>10683</v>
      </c>
      <c r="G788" s="14">
        <v>10683</v>
      </c>
      <c r="H788">
        <f t="shared" si="24"/>
        <v>0</v>
      </c>
      <c r="I788" s="20">
        <f t="shared" si="25"/>
        <v>44287</v>
      </c>
    </row>
    <row r="789" spans="1:9" x14ac:dyDescent="0.2">
      <c r="A789">
        <v>2021</v>
      </c>
      <c r="B789">
        <v>4</v>
      </c>
      <c r="C789" t="s">
        <v>55</v>
      </c>
      <c r="D789" t="s">
        <v>70</v>
      </c>
      <c r="E789" t="s">
        <v>68</v>
      </c>
      <c r="F789" s="14">
        <v>1121341351</v>
      </c>
      <c r="G789" s="14">
        <v>1121341351</v>
      </c>
      <c r="H789">
        <f t="shared" si="24"/>
        <v>0</v>
      </c>
      <c r="I789" s="20">
        <f t="shared" si="25"/>
        <v>44287</v>
      </c>
    </row>
    <row r="790" spans="1:9" x14ac:dyDescent="0.2">
      <c r="A790">
        <v>2021</v>
      </c>
      <c r="B790">
        <v>4</v>
      </c>
      <c r="C790" t="s">
        <v>62</v>
      </c>
      <c r="D790" t="s">
        <v>70</v>
      </c>
      <c r="E790" t="s">
        <v>63</v>
      </c>
      <c r="F790" s="14">
        <v>14115637</v>
      </c>
      <c r="G790" s="14">
        <v>8303316</v>
      </c>
      <c r="H790">
        <f t="shared" si="24"/>
        <v>0</v>
      </c>
      <c r="I790" s="20">
        <f t="shared" si="25"/>
        <v>44287</v>
      </c>
    </row>
    <row r="791" spans="1:9" x14ac:dyDescent="0.2">
      <c r="A791">
        <v>2021</v>
      </c>
      <c r="B791">
        <v>4</v>
      </c>
      <c r="C791" t="s">
        <v>64</v>
      </c>
      <c r="D791" t="s">
        <v>70</v>
      </c>
      <c r="E791" t="s">
        <v>68</v>
      </c>
      <c r="F791" s="14">
        <v>1040857</v>
      </c>
      <c r="G791" s="14">
        <v>1040857</v>
      </c>
      <c r="H791">
        <f t="shared" si="24"/>
        <v>0</v>
      </c>
      <c r="I791" s="20">
        <f t="shared" si="25"/>
        <v>44287</v>
      </c>
    </row>
    <row r="792" spans="1:9" x14ac:dyDescent="0.2">
      <c r="A792">
        <v>2021</v>
      </c>
      <c r="B792">
        <v>5</v>
      </c>
      <c r="C792" t="s">
        <v>55</v>
      </c>
      <c r="D792" t="s">
        <v>56</v>
      </c>
      <c r="E792" t="s">
        <v>59</v>
      </c>
      <c r="F792" s="14">
        <v>35833762</v>
      </c>
      <c r="G792" s="14">
        <v>35833762</v>
      </c>
      <c r="H792">
        <f t="shared" si="24"/>
        <v>0</v>
      </c>
      <c r="I792" s="20">
        <f t="shared" si="25"/>
        <v>44317</v>
      </c>
    </row>
    <row r="793" spans="1:9" x14ac:dyDescent="0.2">
      <c r="A793">
        <v>2021</v>
      </c>
      <c r="B793">
        <v>5</v>
      </c>
      <c r="C793" t="s">
        <v>55</v>
      </c>
      <c r="D793" t="s">
        <v>56</v>
      </c>
      <c r="E793" t="s">
        <v>58</v>
      </c>
      <c r="F793" s="14">
        <v>5946988</v>
      </c>
      <c r="G793" s="14">
        <v>5946988</v>
      </c>
      <c r="H793">
        <f t="shared" si="24"/>
        <v>0</v>
      </c>
      <c r="I793" s="20">
        <f t="shared" si="25"/>
        <v>44317</v>
      </c>
    </row>
    <row r="794" spans="1:9" x14ac:dyDescent="0.2">
      <c r="A794">
        <v>2021</v>
      </c>
      <c r="B794">
        <v>5</v>
      </c>
      <c r="C794" t="s">
        <v>64</v>
      </c>
      <c r="D794" t="s">
        <v>56</v>
      </c>
      <c r="E794" t="s">
        <v>59</v>
      </c>
      <c r="F794" s="14">
        <v>3056702</v>
      </c>
      <c r="G794" s="14">
        <v>3056702</v>
      </c>
      <c r="H794">
        <f t="shared" si="24"/>
        <v>0</v>
      </c>
      <c r="I794" s="20">
        <f t="shared" si="25"/>
        <v>44317</v>
      </c>
    </row>
    <row r="795" spans="1:9" x14ac:dyDescent="0.2">
      <c r="A795">
        <v>2021</v>
      </c>
      <c r="B795">
        <v>5</v>
      </c>
      <c r="C795" t="s">
        <v>55</v>
      </c>
      <c r="D795" t="s">
        <v>60</v>
      </c>
      <c r="E795" t="s">
        <v>61</v>
      </c>
      <c r="F795" s="14">
        <v>225756173</v>
      </c>
      <c r="G795" s="14">
        <v>150501950</v>
      </c>
      <c r="H795">
        <f t="shared" si="24"/>
        <v>0</v>
      </c>
      <c r="I795" s="20">
        <f t="shared" si="25"/>
        <v>44317</v>
      </c>
    </row>
    <row r="796" spans="1:9" x14ac:dyDescent="0.2">
      <c r="A796">
        <v>2021</v>
      </c>
      <c r="B796">
        <v>5</v>
      </c>
      <c r="C796" t="s">
        <v>55</v>
      </c>
      <c r="D796" t="s">
        <v>60</v>
      </c>
      <c r="E796" t="s">
        <v>63</v>
      </c>
      <c r="F796" s="14">
        <v>98298018</v>
      </c>
      <c r="G796" s="14">
        <v>57822332</v>
      </c>
      <c r="H796">
        <f t="shared" si="24"/>
        <v>0</v>
      </c>
      <c r="I796" s="20">
        <f t="shared" si="25"/>
        <v>44317</v>
      </c>
    </row>
    <row r="797" spans="1:9" x14ac:dyDescent="0.2">
      <c r="A797">
        <v>2021</v>
      </c>
      <c r="B797">
        <v>5</v>
      </c>
      <c r="C797" t="s">
        <v>62</v>
      </c>
      <c r="D797" t="s">
        <v>60</v>
      </c>
      <c r="E797" t="s">
        <v>63</v>
      </c>
      <c r="F797" s="14">
        <v>52109077</v>
      </c>
      <c r="G797" s="14">
        <v>30652398</v>
      </c>
      <c r="H797">
        <f t="shared" si="24"/>
        <v>0</v>
      </c>
      <c r="I797" s="20">
        <f t="shared" si="25"/>
        <v>44317</v>
      </c>
    </row>
    <row r="798" spans="1:9" x14ac:dyDescent="0.2">
      <c r="A798">
        <v>2021</v>
      </c>
      <c r="B798">
        <v>5</v>
      </c>
      <c r="C798" t="s">
        <v>64</v>
      </c>
      <c r="D798" t="s">
        <v>60</v>
      </c>
      <c r="E798" t="s">
        <v>61</v>
      </c>
      <c r="F798" s="14">
        <v>19989699</v>
      </c>
      <c r="G798" s="14">
        <v>13326443</v>
      </c>
      <c r="H798">
        <f t="shared" si="24"/>
        <v>0</v>
      </c>
      <c r="I798" s="20">
        <f t="shared" si="25"/>
        <v>44317</v>
      </c>
    </row>
    <row r="799" spans="1:9" x14ac:dyDescent="0.2">
      <c r="A799">
        <v>2021</v>
      </c>
      <c r="B799">
        <v>5</v>
      </c>
      <c r="C799" t="s">
        <v>55</v>
      </c>
      <c r="D799" t="s">
        <v>60</v>
      </c>
      <c r="E799" t="s">
        <v>65</v>
      </c>
      <c r="F799" s="14">
        <v>459994</v>
      </c>
      <c r="G799" s="14">
        <v>287496</v>
      </c>
      <c r="H799">
        <f t="shared" si="24"/>
        <v>1</v>
      </c>
      <c r="I799" s="20">
        <f t="shared" si="25"/>
        <v>44317</v>
      </c>
    </row>
    <row r="800" spans="1:9" x14ac:dyDescent="0.2">
      <c r="A800">
        <v>2021</v>
      </c>
      <c r="B800">
        <v>5</v>
      </c>
      <c r="C800" t="s">
        <v>55</v>
      </c>
      <c r="D800" t="s">
        <v>66</v>
      </c>
      <c r="E800" t="s">
        <v>63</v>
      </c>
      <c r="F800" s="14">
        <v>3789479</v>
      </c>
      <c r="G800" s="14">
        <v>2229105</v>
      </c>
      <c r="H800">
        <f t="shared" si="24"/>
        <v>0</v>
      </c>
      <c r="I800" s="20">
        <f t="shared" si="25"/>
        <v>44317</v>
      </c>
    </row>
    <row r="801" spans="1:9" x14ac:dyDescent="0.2">
      <c r="A801">
        <v>2021</v>
      </c>
      <c r="B801">
        <v>5</v>
      </c>
      <c r="C801" t="s">
        <v>55</v>
      </c>
      <c r="D801" t="s">
        <v>66</v>
      </c>
      <c r="E801" t="s">
        <v>68</v>
      </c>
      <c r="F801" s="14">
        <v>1974084</v>
      </c>
      <c r="G801" s="14">
        <v>1974084</v>
      </c>
      <c r="H801">
        <f t="shared" si="24"/>
        <v>0</v>
      </c>
      <c r="I801" s="20">
        <f t="shared" si="25"/>
        <v>44317</v>
      </c>
    </row>
    <row r="802" spans="1:9" x14ac:dyDescent="0.2">
      <c r="A802">
        <v>2021</v>
      </c>
      <c r="B802">
        <v>5</v>
      </c>
      <c r="C802" t="s">
        <v>55</v>
      </c>
      <c r="D802" t="s">
        <v>66</v>
      </c>
      <c r="E802" t="s">
        <v>67</v>
      </c>
      <c r="F802" s="14">
        <v>1597544</v>
      </c>
      <c r="G802" s="14">
        <v>1065029</v>
      </c>
      <c r="H802">
        <f t="shared" si="24"/>
        <v>0</v>
      </c>
      <c r="I802" s="20">
        <f t="shared" si="25"/>
        <v>44317</v>
      </c>
    </row>
    <row r="803" spans="1:9" x14ac:dyDescent="0.2">
      <c r="A803">
        <v>2021</v>
      </c>
      <c r="B803">
        <v>5</v>
      </c>
      <c r="C803" t="s">
        <v>55</v>
      </c>
      <c r="D803" t="s">
        <v>66</v>
      </c>
      <c r="E803" t="s">
        <v>75</v>
      </c>
      <c r="F803" s="14">
        <v>567004</v>
      </c>
      <c r="G803" s="14">
        <v>405003</v>
      </c>
      <c r="H803">
        <f t="shared" si="24"/>
        <v>0</v>
      </c>
      <c r="I803" s="20">
        <f t="shared" si="25"/>
        <v>44317</v>
      </c>
    </row>
    <row r="804" spans="1:9" x14ac:dyDescent="0.2">
      <c r="A804">
        <v>2021</v>
      </c>
      <c r="B804">
        <v>5</v>
      </c>
      <c r="C804" t="s">
        <v>55</v>
      </c>
      <c r="D804" t="s">
        <v>66</v>
      </c>
      <c r="E804" t="s">
        <v>74</v>
      </c>
      <c r="F804" s="14">
        <v>250017</v>
      </c>
      <c r="G804" s="14">
        <v>227288</v>
      </c>
      <c r="H804">
        <f t="shared" si="24"/>
        <v>0</v>
      </c>
      <c r="I804" s="20">
        <f t="shared" si="25"/>
        <v>44317</v>
      </c>
    </row>
    <row r="805" spans="1:9" x14ac:dyDescent="0.2">
      <c r="A805">
        <v>2021</v>
      </c>
      <c r="B805">
        <v>5</v>
      </c>
      <c r="C805" t="s">
        <v>55</v>
      </c>
      <c r="D805" t="s">
        <v>66</v>
      </c>
      <c r="E805" t="s">
        <v>69</v>
      </c>
      <c r="F805" s="14">
        <v>65149</v>
      </c>
      <c r="G805" s="14">
        <v>40718</v>
      </c>
      <c r="H805">
        <f t="shared" si="24"/>
        <v>0</v>
      </c>
      <c r="I805" s="20">
        <f t="shared" si="25"/>
        <v>44317</v>
      </c>
    </row>
    <row r="806" spans="1:9" x14ac:dyDescent="0.2">
      <c r="A806">
        <v>2021</v>
      </c>
      <c r="B806">
        <v>5</v>
      </c>
      <c r="C806" t="s">
        <v>55</v>
      </c>
      <c r="D806" t="s">
        <v>66</v>
      </c>
      <c r="E806" t="s">
        <v>59</v>
      </c>
      <c r="F806" s="14">
        <v>10694</v>
      </c>
      <c r="G806" s="14">
        <v>10694</v>
      </c>
      <c r="H806">
        <f t="shared" si="24"/>
        <v>0</v>
      </c>
      <c r="I806" s="20">
        <f t="shared" si="25"/>
        <v>44317</v>
      </c>
    </row>
    <row r="807" spans="1:9" x14ac:dyDescent="0.2">
      <c r="A807">
        <v>2021</v>
      </c>
      <c r="B807">
        <v>5</v>
      </c>
      <c r="C807" t="s">
        <v>55</v>
      </c>
      <c r="D807" t="s">
        <v>70</v>
      </c>
      <c r="E807" t="s">
        <v>68</v>
      </c>
      <c r="F807" s="14">
        <v>1249146048</v>
      </c>
      <c r="G807" s="14">
        <v>1249146048</v>
      </c>
      <c r="H807">
        <f t="shared" si="24"/>
        <v>0</v>
      </c>
      <c r="I807" s="20">
        <f t="shared" si="25"/>
        <v>44317</v>
      </c>
    </row>
    <row r="808" spans="1:9" x14ac:dyDescent="0.2">
      <c r="A808">
        <v>2021</v>
      </c>
      <c r="B808">
        <v>5</v>
      </c>
      <c r="C808" t="s">
        <v>62</v>
      </c>
      <c r="D808" t="s">
        <v>70</v>
      </c>
      <c r="E808" t="s">
        <v>63</v>
      </c>
      <c r="F808" s="14">
        <v>12955798</v>
      </c>
      <c r="G808" s="14">
        <v>7621057</v>
      </c>
      <c r="H808">
        <f t="shared" si="24"/>
        <v>0</v>
      </c>
      <c r="I808" s="20">
        <f t="shared" si="25"/>
        <v>44317</v>
      </c>
    </row>
    <row r="809" spans="1:9" x14ac:dyDescent="0.2">
      <c r="A809">
        <v>2021</v>
      </c>
      <c r="B809">
        <v>5</v>
      </c>
      <c r="C809" t="s">
        <v>64</v>
      </c>
      <c r="D809" t="s">
        <v>70</v>
      </c>
      <c r="E809" t="s">
        <v>68</v>
      </c>
      <c r="F809" s="14">
        <v>1121139</v>
      </c>
      <c r="G809" s="14">
        <v>1121139</v>
      </c>
      <c r="H809">
        <f t="shared" si="24"/>
        <v>0</v>
      </c>
      <c r="I809" s="20">
        <f t="shared" si="25"/>
        <v>44317</v>
      </c>
    </row>
    <row r="810" spans="1:9" x14ac:dyDescent="0.2">
      <c r="A810">
        <v>2021</v>
      </c>
      <c r="B810">
        <v>6</v>
      </c>
      <c r="C810" t="s">
        <v>55</v>
      </c>
      <c r="D810" t="s">
        <v>56</v>
      </c>
      <c r="E810" t="s">
        <v>59</v>
      </c>
      <c r="F810" s="14">
        <v>39397690</v>
      </c>
      <c r="G810" s="14">
        <v>39397690</v>
      </c>
      <c r="H810">
        <f t="shared" si="24"/>
        <v>0</v>
      </c>
      <c r="I810" s="20">
        <f t="shared" si="25"/>
        <v>44348</v>
      </c>
    </row>
    <row r="811" spans="1:9" x14ac:dyDescent="0.2">
      <c r="A811">
        <v>2021</v>
      </c>
      <c r="B811">
        <v>6</v>
      </c>
      <c r="C811" t="s">
        <v>55</v>
      </c>
      <c r="D811" t="s">
        <v>56</v>
      </c>
      <c r="E811" t="s">
        <v>58</v>
      </c>
      <c r="F811" s="14">
        <v>6974332</v>
      </c>
      <c r="G811" s="14">
        <v>6974332</v>
      </c>
      <c r="H811">
        <f t="shared" si="24"/>
        <v>0</v>
      </c>
      <c r="I811" s="20">
        <f t="shared" si="25"/>
        <v>44348</v>
      </c>
    </row>
    <row r="812" spans="1:9" x14ac:dyDescent="0.2">
      <c r="A812">
        <v>2021</v>
      </c>
      <c r="B812">
        <v>6</v>
      </c>
      <c r="C812" t="s">
        <v>64</v>
      </c>
      <c r="D812" t="s">
        <v>56</v>
      </c>
      <c r="E812" t="s">
        <v>59</v>
      </c>
      <c r="F812" s="14">
        <v>2702538</v>
      </c>
      <c r="G812" s="14">
        <v>2702538</v>
      </c>
      <c r="H812">
        <f t="shared" si="24"/>
        <v>0</v>
      </c>
      <c r="I812" s="20">
        <f t="shared" si="25"/>
        <v>44348</v>
      </c>
    </row>
    <row r="813" spans="1:9" x14ac:dyDescent="0.2">
      <c r="A813">
        <v>2021</v>
      </c>
      <c r="B813">
        <v>6</v>
      </c>
      <c r="C813" t="s">
        <v>64</v>
      </c>
      <c r="D813" t="s">
        <v>56</v>
      </c>
      <c r="E813" t="s">
        <v>58</v>
      </c>
      <c r="F813" s="14">
        <v>483469</v>
      </c>
      <c r="G813" s="14">
        <v>483469</v>
      </c>
      <c r="H813">
        <f t="shared" si="24"/>
        <v>0</v>
      </c>
      <c r="I813" s="20">
        <f t="shared" si="25"/>
        <v>44348</v>
      </c>
    </row>
    <row r="814" spans="1:9" x14ac:dyDescent="0.2">
      <c r="A814">
        <v>2021</v>
      </c>
      <c r="B814">
        <v>6</v>
      </c>
      <c r="C814" t="s">
        <v>55</v>
      </c>
      <c r="D814" t="s">
        <v>56</v>
      </c>
      <c r="E814" t="s">
        <v>57</v>
      </c>
      <c r="F814" s="14">
        <v>11788</v>
      </c>
      <c r="G814" s="14">
        <v>11788</v>
      </c>
      <c r="H814">
        <f t="shared" si="24"/>
        <v>0</v>
      </c>
      <c r="I814" s="20">
        <f t="shared" si="25"/>
        <v>44348</v>
      </c>
    </row>
    <row r="815" spans="1:9" x14ac:dyDescent="0.2">
      <c r="A815">
        <v>2021</v>
      </c>
      <c r="B815">
        <v>6</v>
      </c>
      <c r="C815" t="s">
        <v>55</v>
      </c>
      <c r="D815" t="s">
        <v>60</v>
      </c>
      <c r="E815" t="s">
        <v>61</v>
      </c>
      <c r="F815" s="14">
        <v>231689058</v>
      </c>
      <c r="G815" s="14">
        <v>154457118</v>
      </c>
      <c r="H815">
        <f t="shared" si="24"/>
        <v>0</v>
      </c>
      <c r="I815" s="20">
        <f t="shared" si="25"/>
        <v>44348</v>
      </c>
    </row>
    <row r="816" spans="1:9" x14ac:dyDescent="0.2">
      <c r="A816">
        <v>2021</v>
      </c>
      <c r="B816">
        <v>6</v>
      </c>
      <c r="C816" t="s">
        <v>55</v>
      </c>
      <c r="D816" t="s">
        <v>60</v>
      </c>
      <c r="E816" t="s">
        <v>63</v>
      </c>
      <c r="F816" s="14">
        <v>109918693</v>
      </c>
      <c r="G816" s="14">
        <v>64658005</v>
      </c>
      <c r="H816">
        <f t="shared" si="24"/>
        <v>0</v>
      </c>
      <c r="I816" s="20">
        <f t="shared" si="25"/>
        <v>44348</v>
      </c>
    </row>
    <row r="817" spans="1:9" x14ac:dyDescent="0.2">
      <c r="A817">
        <v>2021</v>
      </c>
      <c r="B817">
        <v>6</v>
      </c>
      <c r="C817" t="s">
        <v>62</v>
      </c>
      <c r="D817" t="s">
        <v>60</v>
      </c>
      <c r="E817" t="s">
        <v>63</v>
      </c>
      <c r="F817" s="14">
        <v>60430081</v>
      </c>
      <c r="G817" s="14">
        <v>35547106</v>
      </c>
      <c r="H817">
        <f t="shared" si="24"/>
        <v>0</v>
      </c>
      <c r="I817" s="20">
        <f t="shared" si="25"/>
        <v>44348</v>
      </c>
    </row>
    <row r="818" spans="1:9" x14ac:dyDescent="0.2">
      <c r="A818">
        <v>2021</v>
      </c>
      <c r="B818">
        <v>6</v>
      </c>
      <c r="C818" t="s">
        <v>64</v>
      </c>
      <c r="D818" t="s">
        <v>60</v>
      </c>
      <c r="E818" t="s">
        <v>61</v>
      </c>
      <c r="F818" s="14">
        <v>26382669</v>
      </c>
      <c r="G818" s="14">
        <v>17588416</v>
      </c>
      <c r="H818">
        <f t="shared" si="24"/>
        <v>0</v>
      </c>
      <c r="I818" s="20">
        <f t="shared" si="25"/>
        <v>44348</v>
      </c>
    </row>
    <row r="819" spans="1:9" x14ac:dyDescent="0.2">
      <c r="A819">
        <v>2021</v>
      </c>
      <c r="B819">
        <v>6</v>
      </c>
      <c r="C819" t="s">
        <v>55</v>
      </c>
      <c r="D819" t="s">
        <v>60</v>
      </c>
      <c r="E819" t="s">
        <v>65</v>
      </c>
      <c r="F819" s="14">
        <v>571708</v>
      </c>
      <c r="G819" s="14">
        <v>357317</v>
      </c>
      <c r="H819">
        <f t="shared" si="24"/>
        <v>1</v>
      </c>
      <c r="I819" s="20">
        <f t="shared" si="25"/>
        <v>44348</v>
      </c>
    </row>
    <row r="820" spans="1:9" x14ac:dyDescent="0.2">
      <c r="A820">
        <v>2021</v>
      </c>
      <c r="B820">
        <v>6</v>
      </c>
      <c r="C820" t="s">
        <v>64</v>
      </c>
      <c r="D820" t="s">
        <v>66</v>
      </c>
      <c r="E820" t="s">
        <v>68</v>
      </c>
      <c r="F820" s="14">
        <v>12876367</v>
      </c>
      <c r="G820" s="14">
        <v>12876367</v>
      </c>
      <c r="H820">
        <f t="shared" si="24"/>
        <v>0</v>
      </c>
      <c r="I820" s="20">
        <f t="shared" si="25"/>
        <v>44348</v>
      </c>
    </row>
    <row r="821" spans="1:9" x14ac:dyDescent="0.2">
      <c r="A821">
        <v>2021</v>
      </c>
      <c r="B821">
        <v>6</v>
      </c>
      <c r="C821" t="s">
        <v>55</v>
      </c>
      <c r="D821" t="s">
        <v>66</v>
      </c>
      <c r="E821" t="s">
        <v>63</v>
      </c>
      <c r="F821" s="14">
        <v>7142618</v>
      </c>
      <c r="G821" s="14">
        <v>4201540</v>
      </c>
      <c r="H821">
        <f t="shared" si="24"/>
        <v>0</v>
      </c>
      <c r="I821" s="20">
        <f t="shared" si="25"/>
        <v>44348</v>
      </c>
    </row>
    <row r="822" spans="1:9" x14ac:dyDescent="0.2">
      <c r="A822">
        <v>2021</v>
      </c>
      <c r="B822">
        <v>6</v>
      </c>
      <c r="C822" t="s">
        <v>55</v>
      </c>
      <c r="D822" t="s">
        <v>66</v>
      </c>
      <c r="E822" t="s">
        <v>68</v>
      </c>
      <c r="F822" s="14">
        <v>2574692</v>
      </c>
      <c r="G822" s="14">
        <v>2574692</v>
      </c>
      <c r="H822">
        <f t="shared" si="24"/>
        <v>0</v>
      </c>
      <c r="I822" s="20">
        <f t="shared" si="25"/>
        <v>44348</v>
      </c>
    </row>
    <row r="823" spans="1:9" x14ac:dyDescent="0.2">
      <c r="A823">
        <v>2021</v>
      </c>
      <c r="B823">
        <v>6</v>
      </c>
      <c r="C823" t="s">
        <v>55</v>
      </c>
      <c r="D823" t="s">
        <v>66</v>
      </c>
      <c r="E823" t="s">
        <v>67</v>
      </c>
      <c r="F823" s="14">
        <v>1315083</v>
      </c>
      <c r="G823" s="14">
        <v>876721</v>
      </c>
      <c r="H823">
        <f t="shared" si="24"/>
        <v>0</v>
      </c>
      <c r="I823" s="20">
        <f t="shared" si="25"/>
        <v>44348</v>
      </c>
    </row>
    <row r="824" spans="1:9" x14ac:dyDescent="0.2">
      <c r="A824">
        <v>2021</v>
      </c>
      <c r="B824">
        <v>6</v>
      </c>
      <c r="C824" t="s">
        <v>55</v>
      </c>
      <c r="D824" t="s">
        <v>66</v>
      </c>
      <c r="E824" t="s">
        <v>75</v>
      </c>
      <c r="F824" s="14">
        <v>499944</v>
      </c>
      <c r="G824" s="14">
        <v>357103</v>
      </c>
      <c r="H824">
        <f t="shared" si="24"/>
        <v>0</v>
      </c>
      <c r="I824" s="20">
        <f t="shared" si="25"/>
        <v>44348</v>
      </c>
    </row>
    <row r="825" spans="1:9" x14ac:dyDescent="0.2">
      <c r="A825">
        <v>2021</v>
      </c>
      <c r="B825">
        <v>6</v>
      </c>
      <c r="C825" t="s">
        <v>55</v>
      </c>
      <c r="D825" t="s">
        <v>66</v>
      </c>
      <c r="E825" t="s">
        <v>74</v>
      </c>
      <c r="F825" s="14">
        <v>495718</v>
      </c>
      <c r="G825" s="14">
        <v>450653</v>
      </c>
      <c r="H825">
        <f t="shared" si="24"/>
        <v>0</v>
      </c>
      <c r="I825" s="20">
        <f t="shared" si="25"/>
        <v>44348</v>
      </c>
    </row>
    <row r="826" spans="1:9" x14ac:dyDescent="0.2">
      <c r="A826">
        <v>2021</v>
      </c>
      <c r="B826">
        <v>6</v>
      </c>
      <c r="C826" t="s">
        <v>55</v>
      </c>
      <c r="D826" t="s">
        <v>66</v>
      </c>
      <c r="E826" t="s">
        <v>59</v>
      </c>
      <c r="F826" s="14">
        <v>244138</v>
      </c>
      <c r="G826" s="14">
        <v>244138</v>
      </c>
      <c r="H826">
        <f t="shared" si="24"/>
        <v>0</v>
      </c>
      <c r="I826" s="20">
        <f t="shared" si="25"/>
        <v>44348</v>
      </c>
    </row>
    <row r="827" spans="1:9" x14ac:dyDescent="0.2">
      <c r="A827">
        <v>2021</v>
      </c>
      <c r="B827">
        <v>6</v>
      </c>
      <c r="C827" t="s">
        <v>55</v>
      </c>
      <c r="D827" t="s">
        <v>66</v>
      </c>
      <c r="E827" t="s">
        <v>69</v>
      </c>
      <c r="F827" s="14">
        <v>63588</v>
      </c>
      <c r="G827" s="14">
        <v>39743</v>
      </c>
      <c r="H827">
        <f t="shared" si="24"/>
        <v>0</v>
      </c>
      <c r="I827" s="20">
        <f t="shared" si="25"/>
        <v>44348</v>
      </c>
    </row>
    <row r="828" spans="1:9" x14ac:dyDescent="0.2">
      <c r="A828">
        <v>2021</v>
      </c>
      <c r="B828">
        <v>6</v>
      </c>
      <c r="C828" t="s">
        <v>55</v>
      </c>
      <c r="D828" t="s">
        <v>70</v>
      </c>
      <c r="E828" t="s">
        <v>68</v>
      </c>
      <c r="F828" s="14">
        <v>1253638702</v>
      </c>
      <c r="G828" s="14">
        <v>1253638702</v>
      </c>
      <c r="H828">
        <f t="shared" si="24"/>
        <v>0</v>
      </c>
      <c r="I828" s="20">
        <f t="shared" si="25"/>
        <v>44348</v>
      </c>
    </row>
    <row r="829" spans="1:9" x14ac:dyDescent="0.2">
      <c r="A829">
        <v>2021</v>
      </c>
      <c r="B829">
        <v>6</v>
      </c>
      <c r="C829" t="s">
        <v>62</v>
      </c>
      <c r="D829" t="s">
        <v>70</v>
      </c>
      <c r="E829" t="s">
        <v>63</v>
      </c>
      <c r="F829" s="14">
        <v>15528134</v>
      </c>
      <c r="G829" s="14">
        <v>9134196</v>
      </c>
      <c r="H829">
        <f t="shared" si="24"/>
        <v>0</v>
      </c>
      <c r="I829" s="20">
        <f t="shared" si="25"/>
        <v>44348</v>
      </c>
    </row>
    <row r="830" spans="1:9" x14ac:dyDescent="0.2">
      <c r="A830">
        <v>2021</v>
      </c>
      <c r="B830">
        <v>6</v>
      </c>
      <c r="C830" t="s">
        <v>64</v>
      </c>
      <c r="D830" t="s">
        <v>70</v>
      </c>
      <c r="E830" t="s">
        <v>68</v>
      </c>
      <c r="F830" s="14">
        <v>1197808</v>
      </c>
      <c r="G830" s="14">
        <v>1197808</v>
      </c>
      <c r="H830">
        <f t="shared" si="24"/>
        <v>0</v>
      </c>
      <c r="I830" s="20">
        <f t="shared" si="25"/>
        <v>44348</v>
      </c>
    </row>
    <row r="831" spans="1:9" x14ac:dyDescent="0.2">
      <c r="A831">
        <v>2021</v>
      </c>
      <c r="B831">
        <v>7</v>
      </c>
      <c r="C831" t="s">
        <v>55</v>
      </c>
      <c r="D831" t="s">
        <v>56</v>
      </c>
      <c r="E831" t="s">
        <v>59</v>
      </c>
      <c r="F831" s="14">
        <v>35884034</v>
      </c>
      <c r="G831" s="14">
        <v>35884034</v>
      </c>
      <c r="H831">
        <f t="shared" si="24"/>
        <v>0</v>
      </c>
      <c r="I831" s="20">
        <f t="shared" si="25"/>
        <v>44378</v>
      </c>
    </row>
    <row r="832" spans="1:9" x14ac:dyDescent="0.2">
      <c r="A832">
        <v>2021</v>
      </c>
      <c r="B832">
        <v>7</v>
      </c>
      <c r="C832" t="s">
        <v>55</v>
      </c>
      <c r="D832" t="s">
        <v>56</v>
      </c>
      <c r="E832" t="s">
        <v>58</v>
      </c>
      <c r="F832" s="14">
        <v>7060527</v>
      </c>
      <c r="G832" s="14">
        <v>7060527</v>
      </c>
      <c r="H832">
        <f t="shared" si="24"/>
        <v>0</v>
      </c>
      <c r="I832" s="20">
        <f t="shared" si="25"/>
        <v>44378</v>
      </c>
    </row>
    <row r="833" spans="1:9" x14ac:dyDescent="0.2">
      <c r="A833">
        <v>2021</v>
      </c>
      <c r="B833">
        <v>7</v>
      </c>
      <c r="C833" t="s">
        <v>64</v>
      </c>
      <c r="D833" t="s">
        <v>56</v>
      </c>
      <c r="E833" t="s">
        <v>59</v>
      </c>
      <c r="F833" s="14">
        <v>2718711</v>
      </c>
      <c r="G833" s="14">
        <v>2718711</v>
      </c>
      <c r="H833">
        <f t="shared" si="24"/>
        <v>0</v>
      </c>
      <c r="I833" s="20">
        <f t="shared" si="25"/>
        <v>44378</v>
      </c>
    </row>
    <row r="834" spans="1:9" x14ac:dyDescent="0.2">
      <c r="A834">
        <v>2021</v>
      </c>
      <c r="B834">
        <v>7</v>
      </c>
      <c r="C834" t="s">
        <v>64</v>
      </c>
      <c r="D834" t="s">
        <v>56</v>
      </c>
      <c r="E834" t="s">
        <v>58</v>
      </c>
      <c r="F834" s="14">
        <v>240726</v>
      </c>
      <c r="G834" s="14">
        <v>240726</v>
      </c>
      <c r="H834">
        <f t="shared" si="24"/>
        <v>0</v>
      </c>
      <c r="I834" s="20">
        <f t="shared" si="25"/>
        <v>44378</v>
      </c>
    </row>
    <row r="835" spans="1:9" x14ac:dyDescent="0.2">
      <c r="A835">
        <v>2021</v>
      </c>
      <c r="B835">
        <v>7</v>
      </c>
      <c r="C835" t="s">
        <v>55</v>
      </c>
      <c r="D835" t="s">
        <v>60</v>
      </c>
      <c r="E835" t="s">
        <v>61</v>
      </c>
      <c r="F835" s="14">
        <v>220338817</v>
      </c>
      <c r="G835" s="14">
        <v>146890338</v>
      </c>
      <c r="H835">
        <f t="shared" ref="H835:H898" si="26">--ISNUMBER(SEARCH("Jet Fuel",E835))</f>
        <v>0</v>
      </c>
      <c r="I835" s="20">
        <f t="shared" ref="I835:I898" si="27">DATE(A835,B835,1)</f>
        <v>44378</v>
      </c>
    </row>
    <row r="836" spans="1:9" x14ac:dyDescent="0.2">
      <c r="A836">
        <v>2021</v>
      </c>
      <c r="B836">
        <v>7</v>
      </c>
      <c r="C836" t="s">
        <v>55</v>
      </c>
      <c r="D836" t="s">
        <v>60</v>
      </c>
      <c r="E836" t="s">
        <v>63</v>
      </c>
      <c r="F836" s="14">
        <v>108489817</v>
      </c>
      <c r="G836" s="14">
        <v>63817498</v>
      </c>
      <c r="H836">
        <f t="shared" si="26"/>
        <v>0</v>
      </c>
      <c r="I836" s="20">
        <f t="shared" si="27"/>
        <v>44378</v>
      </c>
    </row>
    <row r="837" spans="1:9" x14ac:dyDescent="0.2">
      <c r="A837">
        <v>2021</v>
      </c>
      <c r="B837">
        <v>7</v>
      </c>
      <c r="C837" t="s">
        <v>64</v>
      </c>
      <c r="D837" t="s">
        <v>60</v>
      </c>
      <c r="E837" t="s">
        <v>61</v>
      </c>
      <c r="F837" s="14">
        <v>23073558</v>
      </c>
      <c r="G837" s="14">
        <v>15382342</v>
      </c>
      <c r="H837">
        <f t="shared" si="26"/>
        <v>0</v>
      </c>
      <c r="I837" s="20">
        <f t="shared" si="27"/>
        <v>44378</v>
      </c>
    </row>
    <row r="838" spans="1:9" x14ac:dyDescent="0.2">
      <c r="A838">
        <v>2021</v>
      </c>
      <c r="B838">
        <v>7</v>
      </c>
      <c r="C838" t="s">
        <v>62</v>
      </c>
      <c r="D838" t="s">
        <v>60</v>
      </c>
      <c r="E838" t="s">
        <v>63</v>
      </c>
      <c r="F838" s="14">
        <v>2568695</v>
      </c>
      <c r="G838" s="14">
        <v>1510997</v>
      </c>
      <c r="H838">
        <f t="shared" si="26"/>
        <v>0</v>
      </c>
      <c r="I838" s="20">
        <f t="shared" si="27"/>
        <v>44378</v>
      </c>
    </row>
    <row r="839" spans="1:9" x14ac:dyDescent="0.2">
      <c r="A839">
        <v>2021</v>
      </c>
      <c r="B839">
        <v>7</v>
      </c>
      <c r="C839" t="s">
        <v>62</v>
      </c>
      <c r="D839" t="s">
        <v>60</v>
      </c>
      <c r="E839" t="s">
        <v>76</v>
      </c>
      <c r="F839" s="14">
        <v>1782147</v>
      </c>
      <c r="G839" s="14">
        <v>1113842</v>
      </c>
      <c r="H839">
        <f t="shared" si="26"/>
        <v>0</v>
      </c>
      <c r="I839" s="20">
        <f t="shared" si="27"/>
        <v>44378</v>
      </c>
    </row>
    <row r="840" spans="1:9" x14ac:dyDescent="0.2">
      <c r="A840">
        <v>2021</v>
      </c>
      <c r="B840">
        <v>7</v>
      </c>
      <c r="C840" t="s">
        <v>55</v>
      </c>
      <c r="D840" t="s">
        <v>60</v>
      </c>
      <c r="E840" t="s">
        <v>65</v>
      </c>
      <c r="F840" s="14">
        <v>1749055</v>
      </c>
      <c r="G840" s="14">
        <v>1093159</v>
      </c>
      <c r="H840">
        <f t="shared" si="26"/>
        <v>1</v>
      </c>
      <c r="I840" s="20">
        <f t="shared" si="27"/>
        <v>44378</v>
      </c>
    </row>
    <row r="841" spans="1:9" x14ac:dyDescent="0.2">
      <c r="A841">
        <v>2021</v>
      </c>
      <c r="B841">
        <v>7</v>
      </c>
      <c r="C841" t="s">
        <v>55</v>
      </c>
      <c r="D841" t="s">
        <v>60</v>
      </c>
      <c r="E841" t="s">
        <v>76</v>
      </c>
      <c r="F841" s="14">
        <v>701610</v>
      </c>
      <c r="G841" s="14">
        <v>438506</v>
      </c>
      <c r="H841">
        <f t="shared" si="26"/>
        <v>0</v>
      </c>
      <c r="I841" s="20">
        <f t="shared" si="27"/>
        <v>44378</v>
      </c>
    </row>
    <row r="842" spans="1:9" x14ac:dyDescent="0.2">
      <c r="A842">
        <v>2021</v>
      </c>
      <c r="B842">
        <v>7</v>
      </c>
      <c r="C842" t="s">
        <v>64</v>
      </c>
      <c r="D842" t="s">
        <v>66</v>
      </c>
      <c r="E842" t="s">
        <v>68</v>
      </c>
      <c r="F842" s="14">
        <v>10338232</v>
      </c>
      <c r="G842" s="14">
        <v>10338232</v>
      </c>
      <c r="H842">
        <f t="shared" si="26"/>
        <v>0</v>
      </c>
      <c r="I842" s="20">
        <f t="shared" si="27"/>
        <v>44378</v>
      </c>
    </row>
    <row r="843" spans="1:9" x14ac:dyDescent="0.2">
      <c r="A843">
        <v>2021</v>
      </c>
      <c r="B843">
        <v>7</v>
      </c>
      <c r="C843" t="s">
        <v>55</v>
      </c>
      <c r="D843" t="s">
        <v>66</v>
      </c>
      <c r="E843" t="s">
        <v>63</v>
      </c>
      <c r="F843" s="14">
        <v>8915768</v>
      </c>
      <c r="G843" s="14">
        <v>5244569</v>
      </c>
      <c r="H843">
        <f t="shared" si="26"/>
        <v>0</v>
      </c>
      <c r="I843" s="20">
        <f t="shared" si="27"/>
        <v>44378</v>
      </c>
    </row>
    <row r="844" spans="1:9" x14ac:dyDescent="0.2">
      <c r="A844">
        <v>2021</v>
      </c>
      <c r="B844">
        <v>7</v>
      </c>
      <c r="C844" t="s">
        <v>55</v>
      </c>
      <c r="D844" t="s">
        <v>66</v>
      </c>
      <c r="E844" t="s">
        <v>68</v>
      </c>
      <c r="F844" s="14">
        <v>2169995</v>
      </c>
      <c r="G844" s="14">
        <v>2169995</v>
      </c>
      <c r="H844">
        <f t="shared" si="26"/>
        <v>0</v>
      </c>
      <c r="I844" s="20">
        <f t="shared" si="27"/>
        <v>44378</v>
      </c>
    </row>
    <row r="845" spans="1:9" x14ac:dyDescent="0.2">
      <c r="A845">
        <v>2021</v>
      </c>
      <c r="B845">
        <v>7</v>
      </c>
      <c r="C845" t="s">
        <v>55</v>
      </c>
      <c r="D845" t="s">
        <v>66</v>
      </c>
      <c r="E845" t="s">
        <v>67</v>
      </c>
      <c r="F845" s="14">
        <v>1381312</v>
      </c>
      <c r="G845" s="14">
        <v>920874</v>
      </c>
      <c r="H845">
        <f t="shared" si="26"/>
        <v>0</v>
      </c>
      <c r="I845" s="20">
        <f t="shared" si="27"/>
        <v>44378</v>
      </c>
    </row>
    <row r="846" spans="1:9" x14ac:dyDescent="0.2">
      <c r="A846">
        <v>2021</v>
      </c>
      <c r="B846">
        <v>7</v>
      </c>
      <c r="C846" t="s">
        <v>55</v>
      </c>
      <c r="D846" t="s">
        <v>66</v>
      </c>
      <c r="E846" t="s">
        <v>74</v>
      </c>
      <c r="F846" s="14">
        <v>741000</v>
      </c>
      <c r="G846" s="14">
        <v>673636</v>
      </c>
      <c r="H846">
        <f t="shared" si="26"/>
        <v>0</v>
      </c>
      <c r="I846" s="20">
        <f t="shared" si="27"/>
        <v>44378</v>
      </c>
    </row>
    <row r="847" spans="1:9" x14ac:dyDescent="0.2">
      <c r="A847">
        <v>2021</v>
      </c>
      <c r="B847">
        <v>7</v>
      </c>
      <c r="C847" t="s">
        <v>55</v>
      </c>
      <c r="D847" t="s">
        <v>66</v>
      </c>
      <c r="E847" t="s">
        <v>75</v>
      </c>
      <c r="F847" s="14">
        <v>507493</v>
      </c>
      <c r="G847" s="14">
        <v>362495</v>
      </c>
      <c r="H847">
        <f t="shared" si="26"/>
        <v>0</v>
      </c>
      <c r="I847" s="20">
        <f t="shared" si="27"/>
        <v>44378</v>
      </c>
    </row>
    <row r="848" spans="1:9" x14ac:dyDescent="0.2">
      <c r="A848">
        <v>2021</v>
      </c>
      <c r="B848">
        <v>7</v>
      </c>
      <c r="C848" t="s">
        <v>55</v>
      </c>
      <c r="D848" t="s">
        <v>66</v>
      </c>
      <c r="E848" t="s">
        <v>59</v>
      </c>
      <c r="F848" s="14">
        <v>229115</v>
      </c>
      <c r="G848" s="14">
        <v>229115</v>
      </c>
      <c r="H848">
        <f t="shared" si="26"/>
        <v>0</v>
      </c>
      <c r="I848" s="20">
        <f t="shared" si="27"/>
        <v>44378</v>
      </c>
    </row>
    <row r="849" spans="1:9" x14ac:dyDescent="0.2">
      <c r="A849">
        <v>2021</v>
      </c>
      <c r="B849">
        <v>7</v>
      </c>
      <c r="C849" t="s">
        <v>55</v>
      </c>
      <c r="D849" t="s">
        <v>66</v>
      </c>
      <c r="E849" t="s">
        <v>69</v>
      </c>
      <c r="F849" s="14">
        <v>52209</v>
      </c>
      <c r="G849" s="14">
        <v>32631</v>
      </c>
      <c r="H849">
        <f t="shared" si="26"/>
        <v>0</v>
      </c>
      <c r="I849" s="20">
        <f t="shared" si="27"/>
        <v>44378</v>
      </c>
    </row>
    <row r="850" spans="1:9" x14ac:dyDescent="0.2">
      <c r="A850">
        <v>2021</v>
      </c>
      <c r="B850">
        <v>7</v>
      </c>
      <c r="C850" t="s">
        <v>55</v>
      </c>
      <c r="D850" t="s">
        <v>70</v>
      </c>
      <c r="E850" t="s">
        <v>68</v>
      </c>
      <c r="F850" s="14">
        <v>1272912460</v>
      </c>
      <c r="G850" s="14">
        <v>1272912460</v>
      </c>
      <c r="H850">
        <f t="shared" si="26"/>
        <v>0</v>
      </c>
      <c r="I850" s="20">
        <f t="shared" si="27"/>
        <v>44378</v>
      </c>
    </row>
    <row r="851" spans="1:9" x14ac:dyDescent="0.2">
      <c r="A851">
        <v>2021</v>
      </c>
      <c r="B851">
        <v>7</v>
      </c>
      <c r="C851" t="s">
        <v>64</v>
      </c>
      <c r="D851" t="s">
        <v>70</v>
      </c>
      <c r="E851" t="s">
        <v>68</v>
      </c>
      <c r="F851" s="14">
        <v>1270352</v>
      </c>
      <c r="G851" s="14">
        <v>1270352</v>
      </c>
      <c r="H851">
        <f t="shared" si="26"/>
        <v>0</v>
      </c>
      <c r="I851" s="20">
        <f t="shared" si="27"/>
        <v>44378</v>
      </c>
    </row>
    <row r="852" spans="1:9" x14ac:dyDescent="0.2">
      <c r="A852">
        <v>2021</v>
      </c>
      <c r="B852">
        <v>7</v>
      </c>
      <c r="C852" t="s">
        <v>62</v>
      </c>
      <c r="D852" t="s">
        <v>70</v>
      </c>
      <c r="E852" t="s">
        <v>63</v>
      </c>
      <c r="F852" s="14">
        <v>505684</v>
      </c>
      <c r="G852" s="14">
        <v>297461</v>
      </c>
      <c r="H852">
        <f t="shared" si="26"/>
        <v>0</v>
      </c>
      <c r="I852" s="20">
        <f t="shared" si="27"/>
        <v>44378</v>
      </c>
    </row>
    <row r="853" spans="1:9" x14ac:dyDescent="0.2">
      <c r="A853">
        <v>2021</v>
      </c>
      <c r="B853">
        <v>8</v>
      </c>
      <c r="C853" t="s">
        <v>55</v>
      </c>
      <c r="D853" t="s">
        <v>56</v>
      </c>
      <c r="E853" t="s">
        <v>59</v>
      </c>
      <c r="F853" s="14">
        <v>37893243</v>
      </c>
      <c r="G853" s="14">
        <v>37893243</v>
      </c>
      <c r="H853">
        <f t="shared" si="26"/>
        <v>0</v>
      </c>
      <c r="I853" s="20">
        <f t="shared" si="27"/>
        <v>44409</v>
      </c>
    </row>
    <row r="854" spans="1:9" x14ac:dyDescent="0.2">
      <c r="A854">
        <v>2021</v>
      </c>
      <c r="B854">
        <v>8</v>
      </c>
      <c r="C854" t="s">
        <v>55</v>
      </c>
      <c r="D854" t="s">
        <v>56</v>
      </c>
      <c r="E854" t="s">
        <v>58</v>
      </c>
      <c r="F854" s="14">
        <v>6693931</v>
      </c>
      <c r="G854" s="14">
        <v>6693931</v>
      </c>
      <c r="H854">
        <f t="shared" si="26"/>
        <v>0</v>
      </c>
      <c r="I854" s="20">
        <f t="shared" si="27"/>
        <v>44409</v>
      </c>
    </row>
    <row r="855" spans="1:9" x14ac:dyDescent="0.2">
      <c r="A855">
        <v>2021</v>
      </c>
      <c r="B855">
        <v>8</v>
      </c>
      <c r="C855" t="s">
        <v>64</v>
      </c>
      <c r="D855" t="s">
        <v>56</v>
      </c>
      <c r="E855" t="s">
        <v>59</v>
      </c>
      <c r="F855" s="14">
        <v>2857925</v>
      </c>
      <c r="G855" s="14">
        <v>2857925</v>
      </c>
      <c r="H855">
        <f t="shared" si="26"/>
        <v>0</v>
      </c>
      <c r="I855" s="20">
        <f t="shared" si="27"/>
        <v>44409</v>
      </c>
    </row>
    <row r="856" spans="1:9" x14ac:dyDescent="0.2">
      <c r="A856">
        <v>2021</v>
      </c>
      <c r="B856">
        <v>8</v>
      </c>
      <c r="C856" t="s">
        <v>64</v>
      </c>
      <c r="D856" t="s">
        <v>56</v>
      </c>
      <c r="E856" t="s">
        <v>58</v>
      </c>
      <c r="F856" s="14">
        <v>195705</v>
      </c>
      <c r="G856" s="14">
        <v>195705</v>
      </c>
      <c r="H856">
        <f t="shared" si="26"/>
        <v>0</v>
      </c>
      <c r="I856" s="20">
        <f t="shared" si="27"/>
        <v>44409</v>
      </c>
    </row>
    <row r="857" spans="1:9" x14ac:dyDescent="0.2">
      <c r="A857">
        <v>2021</v>
      </c>
      <c r="B857">
        <v>8</v>
      </c>
      <c r="C857" t="s">
        <v>55</v>
      </c>
      <c r="D857" t="s">
        <v>60</v>
      </c>
      <c r="E857" t="s">
        <v>61</v>
      </c>
      <c r="F857" s="14">
        <v>231876527</v>
      </c>
      <c r="G857" s="14">
        <v>154582245</v>
      </c>
      <c r="H857">
        <f t="shared" si="26"/>
        <v>0</v>
      </c>
      <c r="I857" s="20">
        <f t="shared" si="27"/>
        <v>44409</v>
      </c>
    </row>
    <row r="858" spans="1:9" x14ac:dyDescent="0.2">
      <c r="A858">
        <v>2021</v>
      </c>
      <c r="B858">
        <v>8</v>
      </c>
      <c r="C858" t="s">
        <v>55</v>
      </c>
      <c r="D858" t="s">
        <v>60</v>
      </c>
      <c r="E858" t="s">
        <v>63</v>
      </c>
      <c r="F858" s="14">
        <v>126441343</v>
      </c>
      <c r="G858" s="14">
        <v>74377217</v>
      </c>
      <c r="H858">
        <f t="shared" si="26"/>
        <v>0</v>
      </c>
      <c r="I858" s="20">
        <f t="shared" si="27"/>
        <v>44409</v>
      </c>
    </row>
    <row r="859" spans="1:9" x14ac:dyDescent="0.2">
      <c r="A859">
        <v>2021</v>
      </c>
      <c r="B859">
        <v>8</v>
      </c>
      <c r="C859" t="s">
        <v>62</v>
      </c>
      <c r="D859" t="s">
        <v>60</v>
      </c>
      <c r="E859" t="s">
        <v>63</v>
      </c>
      <c r="F859" s="14">
        <v>42895515</v>
      </c>
      <c r="G859" s="14">
        <v>25232656</v>
      </c>
      <c r="H859">
        <f t="shared" si="26"/>
        <v>0</v>
      </c>
      <c r="I859" s="20">
        <f t="shared" si="27"/>
        <v>44409</v>
      </c>
    </row>
    <row r="860" spans="1:9" x14ac:dyDescent="0.2">
      <c r="A860">
        <v>2021</v>
      </c>
      <c r="B860">
        <v>8</v>
      </c>
      <c r="C860" t="s">
        <v>64</v>
      </c>
      <c r="D860" t="s">
        <v>60</v>
      </c>
      <c r="E860" t="s">
        <v>61</v>
      </c>
      <c r="F860" s="14">
        <v>16572249</v>
      </c>
      <c r="G860" s="14">
        <v>11048139</v>
      </c>
      <c r="H860">
        <f t="shared" si="26"/>
        <v>0</v>
      </c>
      <c r="I860" s="20">
        <f t="shared" si="27"/>
        <v>44409</v>
      </c>
    </row>
    <row r="861" spans="1:9" x14ac:dyDescent="0.2">
      <c r="A861">
        <v>2021</v>
      </c>
      <c r="B861">
        <v>8</v>
      </c>
      <c r="C861" t="s">
        <v>62</v>
      </c>
      <c r="D861" t="s">
        <v>60</v>
      </c>
      <c r="E861" t="s">
        <v>76</v>
      </c>
      <c r="F861" s="14">
        <v>2406776</v>
      </c>
      <c r="G861" s="14">
        <v>1504235</v>
      </c>
      <c r="H861">
        <f t="shared" si="26"/>
        <v>0</v>
      </c>
      <c r="I861" s="20">
        <f t="shared" si="27"/>
        <v>44409</v>
      </c>
    </row>
    <row r="862" spans="1:9" x14ac:dyDescent="0.2">
      <c r="A862">
        <v>2021</v>
      </c>
      <c r="B862">
        <v>8</v>
      </c>
      <c r="C862" t="s">
        <v>55</v>
      </c>
      <c r="D862" t="s">
        <v>60</v>
      </c>
      <c r="E862" t="s">
        <v>65</v>
      </c>
      <c r="F862" s="14">
        <v>1155292</v>
      </c>
      <c r="G862" s="14">
        <v>722058</v>
      </c>
      <c r="H862">
        <f t="shared" si="26"/>
        <v>1</v>
      </c>
      <c r="I862" s="20">
        <f t="shared" si="27"/>
        <v>44409</v>
      </c>
    </row>
    <row r="863" spans="1:9" x14ac:dyDescent="0.2">
      <c r="A863">
        <v>2021</v>
      </c>
      <c r="B863">
        <v>8</v>
      </c>
      <c r="C863" t="s">
        <v>55</v>
      </c>
      <c r="D863" t="s">
        <v>60</v>
      </c>
      <c r="E863" t="s">
        <v>76</v>
      </c>
      <c r="F863" s="14">
        <v>439370</v>
      </c>
      <c r="G863" s="14">
        <v>274606</v>
      </c>
      <c r="H863">
        <f t="shared" si="26"/>
        <v>0</v>
      </c>
      <c r="I863" s="20">
        <f t="shared" si="27"/>
        <v>44409</v>
      </c>
    </row>
    <row r="864" spans="1:9" x14ac:dyDescent="0.2">
      <c r="A864">
        <v>2021</v>
      </c>
      <c r="B864">
        <v>8</v>
      </c>
      <c r="C864" t="s">
        <v>64</v>
      </c>
      <c r="D864" t="s">
        <v>66</v>
      </c>
      <c r="E864" t="s">
        <v>68</v>
      </c>
      <c r="F864" s="14">
        <v>14794361</v>
      </c>
      <c r="G864" s="14">
        <v>14794361</v>
      </c>
      <c r="H864">
        <f t="shared" si="26"/>
        <v>0</v>
      </c>
      <c r="I864" s="20">
        <f t="shared" si="27"/>
        <v>44409</v>
      </c>
    </row>
    <row r="865" spans="1:9" x14ac:dyDescent="0.2">
      <c r="A865">
        <v>2021</v>
      </c>
      <c r="B865">
        <v>8</v>
      </c>
      <c r="C865" t="s">
        <v>55</v>
      </c>
      <c r="D865" t="s">
        <v>66</v>
      </c>
      <c r="E865" t="s">
        <v>63</v>
      </c>
      <c r="F865" s="14">
        <v>13159185</v>
      </c>
      <c r="G865" s="14">
        <v>7740697</v>
      </c>
      <c r="H865">
        <f t="shared" si="26"/>
        <v>0</v>
      </c>
      <c r="I865" s="20">
        <f t="shared" si="27"/>
        <v>44409</v>
      </c>
    </row>
    <row r="866" spans="1:9" x14ac:dyDescent="0.2">
      <c r="A866">
        <v>2021</v>
      </c>
      <c r="B866">
        <v>8</v>
      </c>
      <c r="C866" t="s">
        <v>55</v>
      </c>
      <c r="D866" t="s">
        <v>66</v>
      </c>
      <c r="E866" t="s">
        <v>68</v>
      </c>
      <c r="F866" s="14">
        <v>2303866</v>
      </c>
      <c r="G866" s="14">
        <v>2303866</v>
      </c>
      <c r="H866">
        <f t="shared" si="26"/>
        <v>0</v>
      </c>
      <c r="I866" s="20">
        <f t="shared" si="27"/>
        <v>44409</v>
      </c>
    </row>
    <row r="867" spans="1:9" x14ac:dyDescent="0.2">
      <c r="A867">
        <v>2021</v>
      </c>
      <c r="B867">
        <v>8</v>
      </c>
      <c r="C867" t="s">
        <v>55</v>
      </c>
      <c r="D867" t="s">
        <v>66</v>
      </c>
      <c r="E867" t="s">
        <v>67</v>
      </c>
      <c r="F867" s="14">
        <v>1486732</v>
      </c>
      <c r="G867" s="14">
        <v>991154</v>
      </c>
      <c r="H867">
        <f t="shared" si="26"/>
        <v>0</v>
      </c>
      <c r="I867" s="20">
        <f t="shared" si="27"/>
        <v>44409</v>
      </c>
    </row>
    <row r="868" spans="1:9" x14ac:dyDescent="0.2">
      <c r="A868">
        <v>2021</v>
      </c>
      <c r="B868">
        <v>8</v>
      </c>
      <c r="C868" t="s">
        <v>55</v>
      </c>
      <c r="D868" t="s">
        <v>66</v>
      </c>
      <c r="E868" t="s">
        <v>74</v>
      </c>
      <c r="F868" s="14">
        <v>670008</v>
      </c>
      <c r="G868" s="14">
        <v>609098</v>
      </c>
      <c r="H868">
        <f t="shared" si="26"/>
        <v>0</v>
      </c>
      <c r="I868" s="20">
        <f t="shared" si="27"/>
        <v>44409</v>
      </c>
    </row>
    <row r="869" spans="1:9" x14ac:dyDescent="0.2">
      <c r="A869">
        <v>2021</v>
      </c>
      <c r="B869">
        <v>8</v>
      </c>
      <c r="C869" t="s">
        <v>55</v>
      </c>
      <c r="D869" t="s">
        <v>66</v>
      </c>
      <c r="E869" t="s">
        <v>75</v>
      </c>
      <c r="F869" s="14">
        <v>478626</v>
      </c>
      <c r="G869" s="14">
        <v>341876</v>
      </c>
      <c r="H869">
        <f t="shared" si="26"/>
        <v>0</v>
      </c>
      <c r="I869" s="20">
        <f t="shared" si="27"/>
        <v>44409</v>
      </c>
    </row>
    <row r="870" spans="1:9" x14ac:dyDescent="0.2">
      <c r="A870">
        <v>2021</v>
      </c>
      <c r="B870">
        <v>8</v>
      </c>
      <c r="C870" t="s">
        <v>55</v>
      </c>
      <c r="D870" t="s">
        <v>66</v>
      </c>
      <c r="E870" t="s">
        <v>59</v>
      </c>
      <c r="F870" s="14">
        <v>149358</v>
      </c>
      <c r="G870" s="14">
        <v>149358</v>
      </c>
      <c r="H870">
        <f t="shared" si="26"/>
        <v>0</v>
      </c>
      <c r="I870" s="20">
        <f t="shared" si="27"/>
        <v>44409</v>
      </c>
    </row>
    <row r="871" spans="1:9" x14ac:dyDescent="0.2">
      <c r="A871">
        <v>2021</v>
      </c>
      <c r="B871">
        <v>8</v>
      </c>
      <c r="C871" t="s">
        <v>55</v>
      </c>
      <c r="D871" t="s">
        <v>66</v>
      </c>
      <c r="E871" t="s">
        <v>69</v>
      </c>
      <c r="F871" s="14">
        <v>54634</v>
      </c>
      <c r="G871" s="14">
        <v>34146</v>
      </c>
      <c r="H871">
        <f t="shared" si="26"/>
        <v>0</v>
      </c>
      <c r="I871" s="20">
        <f t="shared" si="27"/>
        <v>44409</v>
      </c>
    </row>
    <row r="872" spans="1:9" x14ac:dyDescent="0.2">
      <c r="A872">
        <v>2021</v>
      </c>
      <c r="B872">
        <v>8</v>
      </c>
      <c r="C872" t="s">
        <v>55</v>
      </c>
      <c r="D872" t="s">
        <v>70</v>
      </c>
      <c r="E872" t="s">
        <v>68</v>
      </c>
      <c r="F872" s="14">
        <v>1211315327</v>
      </c>
      <c r="G872" s="14">
        <v>1211315327</v>
      </c>
      <c r="H872">
        <f t="shared" si="26"/>
        <v>0</v>
      </c>
      <c r="I872" s="20">
        <f t="shared" si="27"/>
        <v>44409</v>
      </c>
    </row>
    <row r="873" spans="1:9" x14ac:dyDescent="0.2">
      <c r="A873">
        <v>2021</v>
      </c>
      <c r="B873">
        <v>8</v>
      </c>
      <c r="C873" t="s">
        <v>62</v>
      </c>
      <c r="D873" t="s">
        <v>70</v>
      </c>
      <c r="E873" t="s">
        <v>63</v>
      </c>
      <c r="F873" s="14">
        <v>4517556</v>
      </c>
      <c r="G873" s="14">
        <v>2657386</v>
      </c>
      <c r="H873">
        <f t="shared" si="26"/>
        <v>0</v>
      </c>
      <c r="I873" s="20">
        <f t="shared" si="27"/>
        <v>44409</v>
      </c>
    </row>
    <row r="874" spans="1:9" x14ac:dyDescent="0.2">
      <c r="A874">
        <v>2021</v>
      </c>
      <c r="B874">
        <v>8</v>
      </c>
      <c r="C874" t="s">
        <v>64</v>
      </c>
      <c r="D874" t="s">
        <v>70</v>
      </c>
      <c r="E874" t="s">
        <v>68</v>
      </c>
      <c r="F874" s="14">
        <v>958375</v>
      </c>
      <c r="G874" s="14">
        <v>958375</v>
      </c>
      <c r="H874">
        <f t="shared" si="26"/>
        <v>0</v>
      </c>
      <c r="I874" s="20">
        <f t="shared" si="27"/>
        <v>44409</v>
      </c>
    </row>
    <row r="875" spans="1:9" x14ac:dyDescent="0.2">
      <c r="A875">
        <v>2021</v>
      </c>
      <c r="B875">
        <v>9</v>
      </c>
      <c r="C875" t="s">
        <v>55</v>
      </c>
      <c r="D875" t="s">
        <v>56</v>
      </c>
      <c r="E875" t="s">
        <v>59</v>
      </c>
      <c r="F875" s="14">
        <v>39533285</v>
      </c>
      <c r="G875" s="14">
        <v>39533285</v>
      </c>
      <c r="H875">
        <f t="shared" si="26"/>
        <v>0</v>
      </c>
      <c r="I875" s="20">
        <f t="shared" si="27"/>
        <v>44440</v>
      </c>
    </row>
    <row r="876" spans="1:9" x14ac:dyDescent="0.2">
      <c r="A876">
        <v>2021</v>
      </c>
      <c r="B876">
        <v>9</v>
      </c>
      <c r="C876" t="s">
        <v>55</v>
      </c>
      <c r="D876" t="s">
        <v>56</v>
      </c>
      <c r="E876" t="s">
        <v>58</v>
      </c>
      <c r="F876" s="14">
        <v>7402799</v>
      </c>
      <c r="G876" s="14">
        <v>7402799</v>
      </c>
      <c r="H876">
        <f t="shared" si="26"/>
        <v>0</v>
      </c>
      <c r="I876" s="20">
        <f t="shared" si="27"/>
        <v>44440</v>
      </c>
    </row>
    <row r="877" spans="1:9" x14ac:dyDescent="0.2">
      <c r="A877">
        <v>2021</v>
      </c>
      <c r="B877">
        <v>9</v>
      </c>
      <c r="C877" t="s">
        <v>64</v>
      </c>
      <c r="D877" t="s">
        <v>56</v>
      </c>
      <c r="E877" t="s">
        <v>59</v>
      </c>
      <c r="F877" s="14">
        <v>2967093</v>
      </c>
      <c r="G877" s="14">
        <v>2967093</v>
      </c>
      <c r="H877">
        <f t="shared" si="26"/>
        <v>0</v>
      </c>
      <c r="I877" s="20">
        <f t="shared" si="27"/>
        <v>44440</v>
      </c>
    </row>
    <row r="878" spans="1:9" x14ac:dyDescent="0.2">
      <c r="A878">
        <v>2021</v>
      </c>
      <c r="B878">
        <v>9</v>
      </c>
      <c r="C878" t="s">
        <v>64</v>
      </c>
      <c r="D878" t="s">
        <v>56</v>
      </c>
      <c r="E878" t="s">
        <v>58</v>
      </c>
      <c r="F878" s="14">
        <v>25800</v>
      </c>
      <c r="G878" s="14">
        <v>25800</v>
      </c>
      <c r="H878">
        <f t="shared" si="26"/>
        <v>0</v>
      </c>
      <c r="I878" s="20">
        <f t="shared" si="27"/>
        <v>44440</v>
      </c>
    </row>
    <row r="879" spans="1:9" x14ac:dyDescent="0.2">
      <c r="A879">
        <v>2021</v>
      </c>
      <c r="B879">
        <v>9</v>
      </c>
      <c r="C879" t="s">
        <v>55</v>
      </c>
      <c r="D879" t="s">
        <v>60</v>
      </c>
      <c r="E879" t="s">
        <v>61</v>
      </c>
      <c r="F879" s="14">
        <v>209905264</v>
      </c>
      <c r="G879" s="14">
        <v>139934774</v>
      </c>
      <c r="H879">
        <f t="shared" si="26"/>
        <v>0</v>
      </c>
      <c r="I879" s="20">
        <f t="shared" si="27"/>
        <v>44440</v>
      </c>
    </row>
    <row r="880" spans="1:9" x14ac:dyDescent="0.2">
      <c r="A880">
        <v>2021</v>
      </c>
      <c r="B880">
        <v>9</v>
      </c>
      <c r="C880" t="s">
        <v>55</v>
      </c>
      <c r="D880" t="s">
        <v>60</v>
      </c>
      <c r="E880" t="s">
        <v>63</v>
      </c>
      <c r="F880" s="14">
        <v>84868870</v>
      </c>
      <c r="G880" s="14">
        <v>49922849</v>
      </c>
      <c r="H880">
        <f t="shared" si="26"/>
        <v>0</v>
      </c>
      <c r="I880" s="20">
        <f t="shared" si="27"/>
        <v>44440</v>
      </c>
    </row>
    <row r="881" spans="1:9" x14ac:dyDescent="0.2">
      <c r="A881">
        <v>2021</v>
      </c>
      <c r="B881">
        <v>9</v>
      </c>
      <c r="C881" t="s">
        <v>62</v>
      </c>
      <c r="D881" t="s">
        <v>60</v>
      </c>
      <c r="E881" t="s">
        <v>63</v>
      </c>
      <c r="F881" s="14">
        <v>68828923</v>
      </c>
      <c r="G881" s="14">
        <v>40487602</v>
      </c>
      <c r="H881">
        <f t="shared" si="26"/>
        <v>0</v>
      </c>
      <c r="I881" s="20">
        <f t="shared" si="27"/>
        <v>44440</v>
      </c>
    </row>
    <row r="882" spans="1:9" x14ac:dyDescent="0.2">
      <c r="A882">
        <v>2021</v>
      </c>
      <c r="B882">
        <v>9</v>
      </c>
      <c r="C882" t="s">
        <v>64</v>
      </c>
      <c r="D882" t="s">
        <v>60</v>
      </c>
      <c r="E882" t="s">
        <v>61</v>
      </c>
      <c r="F882" s="14">
        <v>17688484</v>
      </c>
      <c r="G882" s="14">
        <v>11792295</v>
      </c>
      <c r="H882">
        <f t="shared" si="26"/>
        <v>0</v>
      </c>
      <c r="I882" s="20">
        <f t="shared" si="27"/>
        <v>44440</v>
      </c>
    </row>
    <row r="883" spans="1:9" x14ac:dyDescent="0.2">
      <c r="A883">
        <v>2021</v>
      </c>
      <c r="B883">
        <v>9</v>
      </c>
      <c r="C883" t="s">
        <v>62</v>
      </c>
      <c r="D883" t="s">
        <v>60</v>
      </c>
      <c r="E883" t="s">
        <v>76</v>
      </c>
      <c r="F883" s="14">
        <v>3625997</v>
      </c>
      <c r="G883" s="14">
        <v>2266248</v>
      </c>
      <c r="H883">
        <f t="shared" si="26"/>
        <v>0</v>
      </c>
      <c r="I883" s="20">
        <f t="shared" si="27"/>
        <v>44440</v>
      </c>
    </row>
    <row r="884" spans="1:9" x14ac:dyDescent="0.2">
      <c r="A884">
        <v>2021</v>
      </c>
      <c r="B884">
        <v>9</v>
      </c>
      <c r="C884" t="s">
        <v>55</v>
      </c>
      <c r="D884" t="s">
        <v>60</v>
      </c>
      <c r="E884" t="s">
        <v>65</v>
      </c>
      <c r="F884" s="14">
        <v>480195</v>
      </c>
      <c r="G884" s="14">
        <v>300122</v>
      </c>
      <c r="H884">
        <f t="shared" si="26"/>
        <v>1</v>
      </c>
      <c r="I884" s="20">
        <f t="shared" si="27"/>
        <v>44440</v>
      </c>
    </row>
    <row r="885" spans="1:9" x14ac:dyDescent="0.2">
      <c r="A885">
        <v>2021</v>
      </c>
      <c r="B885">
        <v>9</v>
      </c>
      <c r="C885" t="s">
        <v>64</v>
      </c>
      <c r="D885" t="s">
        <v>66</v>
      </c>
      <c r="E885" t="s">
        <v>68</v>
      </c>
      <c r="F885" s="14">
        <v>10763933</v>
      </c>
      <c r="G885" s="14">
        <v>10763933</v>
      </c>
      <c r="H885">
        <f t="shared" si="26"/>
        <v>0</v>
      </c>
      <c r="I885" s="20">
        <f t="shared" si="27"/>
        <v>44440</v>
      </c>
    </row>
    <row r="886" spans="1:9" x14ac:dyDescent="0.2">
      <c r="A886">
        <v>2021</v>
      </c>
      <c r="B886">
        <v>9</v>
      </c>
      <c r="C886" t="s">
        <v>55</v>
      </c>
      <c r="D886" t="s">
        <v>66</v>
      </c>
      <c r="E886" t="s">
        <v>63</v>
      </c>
      <c r="F886" s="14">
        <v>9901919</v>
      </c>
      <c r="G886" s="14">
        <v>5824657</v>
      </c>
      <c r="H886">
        <f t="shared" si="26"/>
        <v>0</v>
      </c>
      <c r="I886" s="20">
        <f t="shared" si="27"/>
        <v>44440</v>
      </c>
    </row>
    <row r="887" spans="1:9" x14ac:dyDescent="0.2">
      <c r="A887">
        <v>2021</v>
      </c>
      <c r="B887">
        <v>9</v>
      </c>
      <c r="C887" t="s">
        <v>55</v>
      </c>
      <c r="D887" t="s">
        <v>66</v>
      </c>
      <c r="E887" t="s">
        <v>68</v>
      </c>
      <c r="F887" s="14">
        <v>1804886</v>
      </c>
      <c r="G887" s="14">
        <v>1804886</v>
      </c>
      <c r="H887">
        <f t="shared" si="26"/>
        <v>0</v>
      </c>
      <c r="I887" s="20">
        <f t="shared" si="27"/>
        <v>44440</v>
      </c>
    </row>
    <row r="888" spans="1:9" x14ac:dyDescent="0.2">
      <c r="A888">
        <v>2021</v>
      </c>
      <c r="B888">
        <v>9</v>
      </c>
      <c r="C888" t="s">
        <v>55</v>
      </c>
      <c r="D888" t="s">
        <v>66</v>
      </c>
      <c r="E888" t="s">
        <v>67</v>
      </c>
      <c r="F888" s="14">
        <v>1012705</v>
      </c>
      <c r="G888" s="14">
        <v>675136</v>
      </c>
      <c r="H888">
        <f t="shared" si="26"/>
        <v>0</v>
      </c>
      <c r="I888" s="20">
        <f t="shared" si="27"/>
        <v>44440</v>
      </c>
    </row>
    <row r="889" spans="1:9" x14ac:dyDescent="0.2">
      <c r="A889">
        <v>2021</v>
      </c>
      <c r="B889">
        <v>9</v>
      </c>
      <c r="C889" t="s">
        <v>55</v>
      </c>
      <c r="D889" t="s">
        <v>66</v>
      </c>
      <c r="E889" t="s">
        <v>75</v>
      </c>
      <c r="F889" s="14">
        <v>465685</v>
      </c>
      <c r="G889" s="14">
        <v>332632</v>
      </c>
      <c r="H889">
        <f t="shared" si="26"/>
        <v>0</v>
      </c>
      <c r="I889" s="20">
        <f t="shared" si="27"/>
        <v>44440</v>
      </c>
    </row>
    <row r="890" spans="1:9" x14ac:dyDescent="0.2">
      <c r="A890">
        <v>2021</v>
      </c>
      <c r="B890">
        <v>9</v>
      </c>
      <c r="C890" t="s">
        <v>55</v>
      </c>
      <c r="D890" t="s">
        <v>66</v>
      </c>
      <c r="E890" t="s">
        <v>74</v>
      </c>
      <c r="F890" s="14">
        <v>405910</v>
      </c>
      <c r="G890" s="14">
        <v>369009</v>
      </c>
      <c r="H890">
        <f t="shared" si="26"/>
        <v>0</v>
      </c>
      <c r="I890" s="20">
        <f t="shared" si="27"/>
        <v>44440</v>
      </c>
    </row>
    <row r="891" spans="1:9" x14ac:dyDescent="0.2">
      <c r="A891">
        <v>2021</v>
      </c>
      <c r="B891">
        <v>9</v>
      </c>
      <c r="C891" t="s">
        <v>55</v>
      </c>
      <c r="D891" t="s">
        <v>66</v>
      </c>
      <c r="E891" t="s">
        <v>59</v>
      </c>
      <c r="F891" s="14">
        <v>279130</v>
      </c>
      <c r="G891" s="14">
        <v>279130</v>
      </c>
      <c r="H891">
        <f t="shared" si="26"/>
        <v>0</v>
      </c>
      <c r="I891" s="20">
        <f t="shared" si="27"/>
        <v>44440</v>
      </c>
    </row>
    <row r="892" spans="1:9" x14ac:dyDescent="0.2">
      <c r="A892">
        <v>2021</v>
      </c>
      <c r="B892">
        <v>9</v>
      </c>
      <c r="C892" t="s">
        <v>55</v>
      </c>
      <c r="D892" t="s">
        <v>66</v>
      </c>
      <c r="E892" t="s">
        <v>69</v>
      </c>
      <c r="F892" s="14">
        <v>141816</v>
      </c>
      <c r="G892" s="14">
        <v>88635</v>
      </c>
      <c r="H892">
        <f t="shared" si="26"/>
        <v>0</v>
      </c>
      <c r="I892" s="20">
        <f t="shared" si="27"/>
        <v>44440</v>
      </c>
    </row>
    <row r="893" spans="1:9" x14ac:dyDescent="0.2">
      <c r="A893">
        <v>2021</v>
      </c>
      <c r="B893">
        <v>9</v>
      </c>
      <c r="C893" t="s">
        <v>55</v>
      </c>
      <c r="D893" t="s">
        <v>70</v>
      </c>
      <c r="E893" t="s">
        <v>68</v>
      </c>
      <c r="F893" s="14">
        <v>1149352972</v>
      </c>
      <c r="G893" s="14">
        <v>1149352972</v>
      </c>
      <c r="H893">
        <f t="shared" si="26"/>
        <v>0</v>
      </c>
      <c r="I893" s="20">
        <f t="shared" si="27"/>
        <v>44440</v>
      </c>
    </row>
    <row r="894" spans="1:9" x14ac:dyDescent="0.2">
      <c r="A894">
        <v>2021</v>
      </c>
      <c r="B894">
        <v>9</v>
      </c>
      <c r="C894" t="s">
        <v>62</v>
      </c>
      <c r="D894" t="s">
        <v>70</v>
      </c>
      <c r="E894" t="s">
        <v>63</v>
      </c>
      <c r="F894" s="14">
        <v>12198324</v>
      </c>
      <c r="G894" s="14">
        <v>7175485</v>
      </c>
      <c r="H894">
        <f t="shared" si="26"/>
        <v>0</v>
      </c>
      <c r="I894" s="20">
        <f t="shared" si="27"/>
        <v>44440</v>
      </c>
    </row>
    <row r="895" spans="1:9" x14ac:dyDescent="0.2">
      <c r="A895">
        <v>2021</v>
      </c>
      <c r="B895">
        <v>9</v>
      </c>
      <c r="C895" t="s">
        <v>64</v>
      </c>
      <c r="D895" t="s">
        <v>70</v>
      </c>
      <c r="E895" t="s">
        <v>68</v>
      </c>
      <c r="F895" s="14">
        <v>1217879</v>
      </c>
      <c r="G895" s="14">
        <v>1217879</v>
      </c>
      <c r="H895">
        <f t="shared" si="26"/>
        <v>0</v>
      </c>
      <c r="I895" s="20">
        <f t="shared" si="27"/>
        <v>44440</v>
      </c>
    </row>
    <row r="896" spans="1:9" x14ac:dyDescent="0.2">
      <c r="A896">
        <v>2021</v>
      </c>
      <c r="B896">
        <v>10</v>
      </c>
      <c r="C896" t="s">
        <v>55</v>
      </c>
      <c r="D896" t="s">
        <v>56</v>
      </c>
      <c r="E896" t="s">
        <v>59</v>
      </c>
      <c r="F896" s="14">
        <v>39558092</v>
      </c>
      <c r="G896" s="14">
        <v>39558092</v>
      </c>
      <c r="H896">
        <f t="shared" si="26"/>
        <v>0</v>
      </c>
      <c r="I896" s="20">
        <f t="shared" si="27"/>
        <v>44470</v>
      </c>
    </row>
    <row r="897" spans="1:9" x14ac:dyDescent="0.2">
      <c r="A897">
        <v>2021</v>
      </c>
      <c r="B897">
        <v>10</v>
      </c>
      <c r="C897" t="s">
        <v>55</v>
      </c>
      <c r="D897" t="s">
        <v>56</v>
      </c>
      <c r="E897" t="s">
        <v>58</v>
      </c>
      <c r="F897" s="14">
        <v>6941856</v>
      </c>
      <c r="G897" s="14">
        <v>6941856</v>
      </c>
      <c r="H897">
        <f t="shared" si="26"/>
        <v>0</v>
      </c>
      <c r="I897" s="20">
        <f t="shared" si="27"/>
        <v>44470</v>
      </c>
    </row>
    <row r="898" spans="1:9" x14ac:dyDescent="0.2">
      <c r="A898">
        <v>2021</v>
      </c>
      <c r="B898">
        <v>10</v>
      </c>
      <c r="C898" t="s">
        <v>64</v>
      </c>
      <c r="D898" t="s">
        <v>56</v>
      </c>
      <c r="E898" t="s">
        <v>59</v>
      </c>
      <c r="F898" s="14">
        <v>2634250</v>
      </c>
      <c r="G898" s="14">
        <v>2634250</v>
      </c>
      <c r="H898">
        <f t="shared" si="26"/>
        <v>0</v>
      </c>
      <c r="I898" s="20">
        <f t="shared" si="27"/>
        <v>44470</v>
      </c>
    </row>
    <row r="899" spans="1:9" x14ac:dyDescent="0.2">
      <c r="A899">
        <v>2021</v>
      </c>
      <c r="B899">
        <v>10</v>
      </c>
      <c r="C899" t="s">
        <v>64</v>
      </c>
      <c r="D899" t="s">
        <v>56</v>
      </c>
      <c r="E899" t="s">
        <v>58</v>
      </c>
      <c r="F899" s="14">
        <v>349262</v>
      </c>
      <c r="G899" s="14">
        <v>349262</v>
      </c>
      <c r="H899">
        <f t="shared" ref="H899:H962" si="28">--ISNUMBER(SEARCH("Jet Fuel",E899))</f>
        <v>0</v>
      </c>
      <c r="I899" s="20">
        <f t="shared" ref="I899:I962" si="29">DATE(A899,B899,1)</f>
        <v>44470</v>
      </c>
    </row>
    <row r="900" spans="1:9" x14ac:dyDescent="0.2">
      <c r="A900">
        <v>2021</v>
      </c>
      <c r="B900">
        <v>10</v>
      </c>
      <c r="C900" t="s">
        <v>55</v>
      </c>
      <c r="D900" t="s">
        <v>60</v>
      </c>
      <c r="E900" t="s">
        <v>61</v>
      </c>
      <c r="F900" s="14">
        <v>209671156</v>
      </c>
      <c r="G900" s="14">
        <v>139778878</v>
      </c>
      <c r="H900">
        <f t="shared" si="28"/>
        <v>0</v>
      </c>
      <c r="I900" s="20">
        <f t="shared" si="29"/>
        <v>44470</v>
      </c>
    </row>
    <row r="901" spans="1:9" x14ac:dyDescent="0.2">
      <c r="A901">
        <v>2021</v>
      </c>
      <c r="B901">
        <v>10</v>
      </c>
      <c r="C901" t="s">
        <v>55</v>
      </c>
      <c r="D901" t="s">
        <v>60</v>
      </c>
      <c r="E901" t="s">
        <v>63</v>
      </c>
      <c r="F901" s="14">
        <v>122832707</v>
      </c>
      <c r="G901" s="14">
        <v>72254487</v>
      </c>
      <c r="H901">
        <f t="shared" si="28"/>
        <v>0</v>
      </c>
      <c r="I901" s="20">
        <f t="shared" si="29"/>
        <v>44470</v>
      </c>
    </row>
    <row r="902" spans="1:9" x14ac:dyDescent="0.2">
      <c r="A902">
        <v>2021</v>
      </c>
      <c r="B902">
        <v>10</v>
      </c>
      <c r="C902" t="s">
        <v>62</v>
      </c>
      <c r="D902" t="s">
        <v>60</v>
      </c>
      <c r="E902" t="s">
        <v>63</v>
      </c>
      <c r="F902" s="14">
        <v>61790011</v>
      </c>
      <c r="G902" s="14">
        <v>36347065</v>
      </c>
      <c r="H902">
        <f t="shared" si="28"/>
        <v>0</v>
      </c>
      <c r="I902" s="20">
        <f t="shared" si="29"/>
        <v>44470</v>
      </c>
    </row>
    <row r="903" spans="1:9" x14ac:dyDescent="0.2">
      <c r="A903">
        <v>2021</v>
      </c>
      <c r="B903">
        <v>10</v>
      </c>
      <c r="C903" t="s">
        <v>64</v>
      </c>
      <c r="D903" t="s">
        <v>60</v>
      </c>
      <c r="E903" t="s">
        <v>61</v>
      </c>
      <c r="F903" s="14">
        <v>26832257</v>
      </c>
      <c r="G903" s="14">
        <v>17888148</v>
      </c>
      <c r="H903">
        <f t="shared" si="28"/>
        <v>0</v>
      </c>
      <c r="I903" s="20">
        <f t="shared" si="29"/>
        <v>44470</v>
      </c>
    </row>
    <row r="904" spans="1:9" x14ac:dyDescent="0.2">
      <c r="A904">
        <v>2021</v>
      </c>
      <c r="B904">
        <v>10</v>
      </c>
      <c r="C904" t="s">
        <v>62</v>
      </c>
      <c r="D904" t="s">
        <v>60</v>
      </c>
      <c r="E904" t="s">
        <v>76</v>
      </c>
      <c r="F904" s="14">
        <v>9584168</v>
      </c>
      <c r="G904" s="14">
        <v>5990105</v>
      </c>
      <c r="H904">
        <f t="shared" si="28"/>
        <v>0</v>
      </c>
      <c r="I904" s="20">
        <f t="shared" si="29"/>
        <v>44470</v>
      </c>
    </row>
    <row r="905" spans="1:9" x14ac:dyDescent="0.2">
      <c r="A905">
        <v>2021</v>
      </c>
      <c r="B905">
        <v>10</v>
      </c>
      <c r="C905" t="s">
        <v>55</v>
      </c>
      <c r="D905" t="s">
        <v>60</v>
      </c>
      <c r="E905" t="s">
        <v>65</v>
      </c>
      <c r="F905" s="14">
        <v>700386</v>
      </c>
      <c r="G905" s="14">
        <v>437741</v>
      </c>
      <c r="H905">
        <f t="shared" si="28"/>
        <v>1</v>
      </c>
      <c r="I905" s="20">
        <f t="shared" si="29"/>
        <v>44470</v>
      </c>
    </row>
    <row r="906" spans="1:9" x14ac:dyDescent="0.2">
      <c r="A906">
        <v>2021</v>
      </c>
      <c r="B906">
        <v>10</v>
      </c>
      <c r="C906" t="s">
        <v>64</v>
      </c>
      <c r="D906" t="s">
        <v>66</v>
      </c>
      <c r="E906" t="s">
        <v>68</v>
      </c>
      <c r="F906" s="14">
        <v>10741498</v>
      </c>
      <c r="G906" s="14">
        <v>10741498</v>
      </c>
      <c r="H906">
        <f t="shared" si="28"/>
        <v>0</v>
      </c>
      <c r="I906" s="20">
        <f t="shared" si="29"/>
        <v>44470</v>
      </c>
    </row>
    <row r="907" spans="1:9" x14ac:dyDescent="0.2">
      <c r="A907">
        <v>2021</v>
      </c>
      <c r="B907">
        <v>10</v>
      </c>
      <c r="C907" t="s">
        <v>55</v>
      </c>
      <c r="D907" t="s">
        <v>66</v>
      </c>
      <c r="E907" t="s">
        <v>63</v>
      </c>
      <c r="F907" s="14">
        <v>8653829</v>
      </c>
      <c r="G907" s="14">
        <v>5090487</v>
      </c>
      <c r="H907">
        <f t="shared" si="28"/>
        <v>0</v>
      </c>
      <c r="I907" s="20">
        <f t="shared" si="29"/>
        <v>44470</v>
      </c>
    </row>
    <row r="908" spans="1:9" x14ac:dyDescent="0.2">
      <c r="A908">
        <v>2021</v>
      </c>
      <c r="B908">
        <v>10</v>
      </c>
      <c r="C908" t="s">
        <v>55</v>
      </c>
      <c r="D908" t="s">
        <v>66</v>
      </c>
      <c r="E908" t="s">
        <v>67</v>
      </c>
      <c r="F908" s="14">
        <v>3136792</v>
      </c>
      <c r="G908" s="14">
        <v>2091193</v>
      </c>
      <c r="H908">
        <f t="shared" si="28"/>
        <v>0</v>
      </c>
      <c r="I908" s="20">
        <f t="shared" si="29"/>
        <v>44470</v>
      </c>
    </row>
    <row r="909" spans="1:9" x14ac:dyDescent="0.2">
      <c r="A909">
        <v>2021</v>
      </c>
      <c r="B909">
        <v>10</v>
      </c>
      <c r="C909" t="s">
        <v>55</v>
      </c>
      <c r="D909" t="s">
        <v>66</v>
      </c>
      <c r="E909" t="s">
        <v>68</v>
      </c>
      <c r="F909" s="14">
        <v>1944892</v>
      </c>
      <c r="G909" s="14">
        <v>1944892</v>
      </c>
      <c r="H909">
        <f t="shared" si="28"/>
        <v>0</v>
      </c>
      <c r="I909" s="20">
        <f t="shared" si="29"/>
        <v>44470</v>
      </c>
    </row>
    <row r="910" spans="1:9" x14ac:dyDescent="0.2">
      <c r="A910">
        <v>2021</v>
      </c>
      <c r="B910">
        <v>10</v>
      </c>
      <c r="C910" t="s">
        <v>55</v>
      </c>
      <c r="D910" t="s">
        <v>66</v>
      </c>
      <c r="E910" t="s">
        <v>74</v>
      </c>
      <c r="F910" s="14">
        <v>303658</v>
      </c>
      <c r="G910" s="14">
        <v>276052</v>
      </c>
      <c r="H910">
        <f t="shared" si="28"/>
        <v>0</v>
      </c>
      <c r="I910" s="20">
        <f t="shared" si="29"/>
        <v>44470</v>
      </c>
    </row>
    <row r="911" spans="1:9" x14ac:dyDescent="0.2">
      <c r="A911">
        <v>2021</v>
      </c>
      <c r="B911">
        <v>10</v>
      </c>
      <c r="C911" t="s">
        <v>55</v>
      </c>
      <c r="D911" t="s">
        <v>66</v>
      </c>
      <c r="E911" t="s">
        <v>75</v>
      </c>
      <c r="F911" s="14">
        <v>248137</v>
      </c>
      <c r="G911" s="14">
        <v>177241</v>
      </c>
      <c r="H911">
        <f t="shared" si="28"/>
        <v>0</v>
      </c>
      <c r="I911" s="20">
        <f t="shared" si="29"/>
        <v>44470</v>
      </c>
    </row>
    <row r="912" spans="1:9" x14ac:dyDescent="0.2">
      <c r="A912">
        <v>2021</v>
      </c>
      <c r="B912">
        <v>10</v>
      </c>
      <c r="C912" t="s">
        <v>55</v>
      </c>
      <c r="D912" t="s">
        <v>66</v>
      </c>
      <c r="E912" t="s">
        <v>69</v>
      </c>
      <c r="F912" s="14">
        <v>234290</v>
      </c>
      <c r="G912" s="14">
        <v>146431</v>
      </c>
      <c r="H912">
        <f t="shared" si="28"/>
        <v>0</v>
      </c>
      <c r="I912" s="20">
        <f t="shared" si="29"/>
        <v>44470</v>
      </c>
    </row>
    <row r="913" spans="1:9" x14ac:dyDescent="0.2">
      <c r="A913">
        <v>2021</v>
      </c>
      <c r="B913">
        <v>10</v>
      </c>
      <c r="C913" t="s">
        <v>55</v>
      </c>
      <c r="D913" t="s">
        <v>66</v>
      </c>
      <c r="E913" t="s">
        <v>59</v>
      </c>
      <c r="F913" s="14">
        <v>173281</v>
      </c>
      <c r="G913" s="14">
        <v>173281</v>
      </c>
      <c r="H913">
        <f t="shared" si="28"/>
        <v>0</v>
      </c>
      <c r="I913" s="20">
        <f t="shared" si="29"/>
        <v>44470</v>
      </c>
    </row>
    <row r="914" spans="1:9" x14ac:dyDescent="0.2">
      <c r="A914">
        <v>2021</v>
      </c>
      <c r="B914">
        <v>10</v>
      </c>
      <c r="C914" t="s">
        <v>55</v>
      </c>
      <c r="D914" t="s">
        <v>70</v>
      </c>
      <c r="E914" t="s">
        <v>68</v>
      </c>
      <c r="F914" s="14">
        <v>1184692433</v>
      </c>
      <c r="G914" s="14">
        <v>1184692433</v>
      </c>
      <c r="H914">
        <f t="shared" si="28"/>
        <v>0</v>
      </c>
      <c r="I914" s="20">
        <f t="shared" si="29"/>
        <v>44470</v>
      </c>
    </row>
    <row r="915" spans="1:9" x14ac:dyDescent="0.2">
      <c r="A915">
        <v>2021</v>
      </c>
      <c r="B915">
        <v>10</v>
      </c>
      <c r="C915" t="s">
        <v>62</v>
      </c>
      <c r="D915" t="s">
        <v>70</v>
      </c>
      <c r="E915" t="s">
        <v>63</v>
      </c>
      <c r="F915" s="14">
        <v>18198451</v>
      </c>
      <c r="G915" s="14">
        <v>10704972</v>
      </c>
      <c r="H915">
        <f t="shared" si="28"/>
        <v>0</v>
      </c>
      <c r="I915" s="20">
        <f t="shared" si="29"/>
        <v>44470</v>
      </c>
    </row>
    <row r="916" spans="1:9" x14ac:dyDescent="0.2">
      <c r="A916">
        <v>2021</v>
      </c>
      <c r="B916">
        <v>10</v>
      </c>
      <c r="C916" t="s">
        <v>64</v>
      </c>
      <c r="D916" t="s">
        <v>70</v>
      </c>
      <c r="E916" t="s">
        <v>68</v>
      </c>
      <c r="F916" s="14">
        <v>1225091</v>
      </c>
      <c r="G916" s="14">
        <v>1225091</v>
      </c>
      <c r="H916">
        <f t="shared" si="28"/>
        <v>0</v>
      </c>
      <c r="I916" s="20">
        <f t="shared" si="29"/>
        <v>44470</v>
      </c>
    </row>
    <row r="917" spans="1:9" x14ac:dyDescent="0.2">
      <c r="A917">
        <v>2021</v>
      </c>
      <c r="B917">
        <v>10</v>
      </c>
      <c r="C917" t="s">
        <v>64</v>
      </c>
      <c r="D917" t="s">
        <v>71</v>
      </c>
      <c r="E917" t="s">
        <v>72</v>
      </c>
      <c r="F917" s="14">
        <v>60338</v>
      </c>
      <c r="G917" s="14">
        <v>60338</v>
      </c>
      <c r="H917">
        <f t="shared" si="28"/>
        <v>0</v>
      </c>
      <c r="I917" s="20">
        <f t="shared" si="29"/>
        <v>44470</v>
      </c>
    </row>
    <row r="918" spans="1:9" x14ac:dyDescent="0.2">
      <c r="A918">
        <v>2021</v>
      </c>
      <c r="B918">
        <v>11</v>
      </c>
      <c r="C918" t="s">
        <v>55</v>
      </c>
      <c r="D918" t="s">
        <v>56</v>
      </c>
      <c r="E918" t="s">
        <v>59</v>
      </c>
      <c r="F918" s="14">
        <v>42107589</v>
      </c>
      <c r="G918" s="14">
        <v>42107589</v>
      </c>
      <c r="H918">
        <f t="shared" si="28"/>
        <v>0</v>
      </c>
      <c r="I918" s="20">
        <f t="shared" si="29"/>
        <v>44501</v>
      </c>
    </row>
    <row r="919" spans="1:9" x14ac:dyDescent="0.2">
      <c r="A919">
        <v>2021</v>
      </c>
      <c r="B919">
        <v>11</v>
      </c>
      <c r="C919" t="s">
        <v>55</v>
      </c>
      <c r="D919" t="s">
        <v>56</v>
      </c>
      <c r="E919" t="s">
        <v>58</v>
      </c>
      <c r="F919" s="14">
        <v>7154022</v>
      </c>
      <c r="G919" s="14">
        <v>7154022</v>
      </c>
      <c r="H919">
        <f t="shared" si="28"/>
        <v>0</v>
      </c>
      <c r="I919" s="20">
        <f t="shared" si="29"/>
        <v>44501</v>
      </c>
    </row>
    <row r="920" spans="1:9" x14ac:dyDescent="0.2">
      <c r="A920">
        <v>2021</v>
      </c>
      <c r="B920">
        <v>11</v>
      </c>
      <c r="C920" t="s">
        <v>64</v>
      </c>
      <c r="D920" t="s">
        <v>56</v>
      </c>
      <c r="E920" t="s">
        <v>59</v>
      </c>
      <c r="F920" s="14">
        <v>2369226</v>
      </c>
      <c r="G920" s="14">
        <v>2369226</v>
      </c>
      <c r="H920">
        <f t="shared" si="28"/>
        <v>0</v>
      </c>
      <c r="I920" s="20">
        <f t="shared" si="29"/>
        <v>44501</v>
      </c>
    </row>
    <row r="921" spans="1:9" x14ac:dyDescent="0.2">
      <c r="A921">
        <v>2021</v>
      </c>
      <c r="B921">
        <v>11</v>
      </c>
      <c r="C921" t="s">
        <v>64</v>
      </c>
      <c r="D921" t="s">
        <v>56</v>
      </c>
      <c r="E921" t="s">
        <v>58</v>
      </c>
      <c r="F921" s="14">
        <v>667669</v>
      </c>
      <c r="G921" s="14">
        <v>667669</v>
      </c>
      <c r="H921">
        <f t="shared" si="28"/>
        <v>0</v>
      </c>
      <c r="I921" s="20">
        <f t="shared" si="29"/>
        <v>44501</v>
      </c>
    </row>
    <row r="922" spans="1:9" x14ac:dyDescent="0.2">
      <c r="A922">
        <v>2021</v>
      </c>
      <c r="B922">
        <v>11</v>
      </c>
      <c r="C922" t="s">
        <v>55</v>
      </c>
      <c r="D922" t="s">
        <v>56</v>
      </c>
      <c r="E922" t="s">
        <v>57</v>
      </c>
      <c r="F922" s="14">
        <v>125000</v>
      </c>
      <c r="G922" s="14">
        <v>125000</v>
      </c>
      <c r="H922">
        <f t="shared" si="28"/>
        <v>0</v>
      </c>
      <c r="I922" s="20">
        <f t="shared" si="29"/>
        <v>44501</v>
      </c>
    </row>
    <row r="923" spans="1:9" x14ac:dyDescent="0.2">
      <c r="A923">
        <v>2021</v>
      </c>
      <c r="B923">
        <v>11</v>
      </c>
      <c r="C923" t="s">
        <v>55</v>
      </c>
      <c r="D923" t="s">
        <v>60</v>
      </c>
      <c r="E923" t="s">
        <v>61</v>
      </c>
      <c r="F923" s="14">
        <v>211287523</v>
      </c>
      <c r="G923" s="14">
        <v>140856752</v>
      </c>
      <c r="H923">
        <f t="shared" si="28"/>
        <v>0</v>
      </c>
      <c r="I923" s="20">
        <f t="shared" si="29"/>
        <v>44501</v>
      </c>
    </row>
    <row r="924" spans="1:9" x14ac:dyDescent="0.2">
      <c r="A924">
        <v>2021</v>
      </c>
      <c r="B924">
        <v>11</v>
      </c>
      <c r="C924" t="s">
        <v>55</v>
      </c>
      <c r="D924" t="s">
        <v>60</v>
      </c>
      <c r="E924" t="s">
        <v>63</v>
      </c>
      <c r="F924" s="14">
        <v>171882616</v>
      </c>
      <c r="G924" s="14">
        <v>101107386</v>
      </c>
      <c r="H924">
        <f t="shared" si="28"/>
        <v>0</v>
      </c>
      <c r="I924" s="20">
        <f t="shared" si="29"/>
        <v>44501</v>
      </c>
    </row>
    <row r="925" spans="1:9" x14ac:dyDescent="0.2">
      <c r="A925">
        <v>2021</v>
      </c>
      <c r="B925">
        <v>11</v>
      </c>
      <c r="C925" t="s">
        <v>62</v>
      </c>
      <c r="D925" t="s">
        <v>60</v>
      </c>
      <c r="E925" t="s">
        <v>63</v>
      </c>
      <c r="F925" s="14">
        <v>48685115</v>
      </c>
      <c r="G925" s="14">
        <v>28638303</v>
      </c>
      <c r="H925">
        <f t="shared" si="28"/>
        <v>0</v>
      </c>
      <c r="I925" s="20">
        <f t="shared" si="29"/>
        <v>44501</v>
      </c>
    </row>
    <row r="926" spans="1:9" x14ac:dyDescent="0.2">
      <c r="A926">
        <v>2021</v>
      </c>
      <c r="B926">
        <v>11</v>
      </c>
      <c r="C926" t="s">
        <v>64</v>
      </c>
      <c r="D926" t="s">
        <v>60</v>
      </c>
      <c r="E926" t="s">
        <v>61</v>
      </c>
      <c r="F926" s="14">
        <v>32223920</v>
      </c>
      <c r="G926" s="14">
        <v>21482583</v>
      </c>
      <c r="H926">
        <f t="shared" si="28"/>
        <v>0</v>
      </c>
      <c r="I926" s="20">
        <f t="shared" si="29"/>
        <v>44501</v>
      </c>
    </row>
    <row r="927" spans="1:9" x14ac:dyDescent="0.2">
      <c r="A927">
        <v>2021</v>
      </c>
      <c r="B927">
        <v>11</v>
      </c>
      <c r="C927" t="s">
        <v>55</v>
      </c>
      <c r="D927" t="s">
        <v>60</v>
      </c>
      <c r="E927" t="s">
        <v>65</v>
      </c>
      <c r="F927" s="14">
        <v>651091</v>
      </c>
      <c r="G927" s="14">
        <v>406932</v>
      </c>
      <c r="H927">
        <f t="shared" si="28"/>
        <v>1</v>
      </c>
      <c r="I927" s="20">
        <f t="shared" si="29"/>
        <v>44501</v>
      </c>
    </row>
    <row r="928" spans="1:9" x14ac:dyDescent="0.2">
      <c r="A928">
        <v>2021</v>
      </c>
      <c r="B928">
        <v>11</v>
      </c>
      <c r="C928" t="s">
        <v>55</v>
      </c>
      <c r="D928" t="s">
        <v>66</v>
      </c>
      <c r="E928" t="s">
        <v>67</v>
      </c>
      <c r="F928" s="14">
        <v>4321561</v>
      </c>
      <c r="G928" s="14">
        <v>2881039</v>
      </c>
      <c r="H928">
        <f t="shared" si="28"/>
        <v>0</v>
      </c>
      <c r="I928" s="20">
        <f t="shared" si="29"/>
        <v>44501</v>
      </c>
    </row>
    <row r="929" spans="1:9" x14ac:dyDescent="0.2">
      <c r="A929">
        <v>2021</v>
      </c>
      <c r="B929">
        <v>11</v>
      </c>
      <c r="C929" t="s">
        <v>55</v>
      </c>
      <c r="D929" t="s">
        <v>66</v>
      </c>
      <c r="E929" t="s">
        <v>68</v>
      </c>
      <c r="F929" s="14">
        <v>2215134</v>
      </c>
      <c r="G929" s="14">
        <v>2215134</v>
      </c>
      <c r="H929">
        <f t="shared" si="28"/>
        <v>0</v>
      </c>
      <c r="I929" s="20">
        <f t="shared" si="29"/>
        <v>44501</v>
      </c>
    </row>
    <row r="930" spans="1:9" x14ac:dyDescent="0.2">
      <c r="A930">
        <v>2021</v>
      </c>
      <c r="B930">
        <v>11</v>
      </c>
      <c r="C930" t="s">
        <v>55</v>
      </c>
      <c r="D930" t="s">
        <v>66</v>
      </c>
      <c r="E930" t="s">
        <v>63</v>
      </c>
      <c r="F930" s="14">
        <v>1281287</v>
      </c>
      <c r="G930" s="14">
        <v>753698</v>
      </c>
      <c r="H930">
        <f t="shared" si="28"/>
        <v>0</v>
      </c>
      <c r="I930" s="20">
        <f t="shared" si="29"/>
        <v>44501</v>
      </c>
    </row>
    <row r="931" spans="1:9" x14ac:dyDescent="0.2">
      <c r="A931">
        <v>2021</v>
      </c>
      <c r="B931">
        <v>11</v>
      </c>
      <c r="C931" t="s">
        <v>55</v>
      </c>
      <c r="D931" t="s">
        <v>66</v>
      </c>
      <c r="E931" t="s">
        <v>75</v>
      </c>
      <c r="F931" s="14">
        <v>537361</v>
      </c>
      <c r="G931" s="14">
        <v>383828</v>
      </c>
      <c r="H931">
        <f t="shared" si="28"/>
        <v>0</v>
      </c>
      <c r="I931" s="20">
        <f t="shared" si="29"/>
        <v>44501</v>
      </c>
    </row>
    <row r="932" spans="1:9" x14ac:dyDescent="0.2">
      <c r="A932">
        <v>2021</v>
      </c>
      <c r="B932">
        <v>11</v>
      </c>
      <c r="C932" t="s">
        <v>55</v>
      </c>
      <c r="D932" t="s">
        <v>66</v>
      </c>
      <c r="E932" t="s">
        <v>74</v>
      </c>
      <c r="F932" s="14">
        <v>485575</v>
      </c>
      <c r="G932" s="14">
        <v>441432</v>
      </c>
      <c r="H932">
        <f t="shared" si="28"/>
        <v>0</v>
      </c>
      <c r="I932" s="20">
        <f t="shared" si="29"/>
        <v>44501</v>
      </c>
    </row>
    <row r="933" spans="1:9" x14ac:dyDescent="0.2">
      <c r="A933">
        <v>2021</v>
      </c>
      <c r="B933">
        <v>11</v>
      </c>
      <c r="C933" t="s">
        <v>55</v>
      </c>
      <c r="D933" t="s">
        <v>66</v>
      </c>
      <c r="E933" t="s">
        <v>69</v>
      </c>
      <c r="F933" s="14">
        <v>197167</v>
      </c>
      <c r="G933" s="14">
        <v>123229</v>
      </c>
      <c r="H933">
        <f t="shared" si="28"/>
        <v>0</v>
      </c>
      <c r="I933" s="20">
        <f t="shared" si="29"/>
        <v>44501</v>
      </c>
    </row>
    <row r="934" spans="1:9" x14ac:dyDescent="0.2">
      <c r="A934">
        <v>2021</v>
      </c>
      <c r="B934">
        <v>11</v>
      </c>
      <c r="C934" t="s">
        <v>55</v>
      </c>
      <c r="D934" t="s">
        <v>66</v>
      </c>
      <c r="E934" t="s">
        <v>59</v>
      </c>
      <c r="F934" s="14">
        <v>163969</v>
      </c>
      <c r="G934" s="14">
        <v>163969</v>
      </c>
      <c r="H934">
        <f t="shared" si="28"/>
        <v>0</v>
      </c>
      <c r="I934" s="20">
        <f t="shared" si="29"/>
        <v>44501</v>
      </c>
    </row>
    <row r="935" spans="1:9" x14ac:dyDescent="0.2">
      <c r="A935">
        <v>2021</v>
      </c>
      <c r="B935">
        <v>11</v>
      </c>
      <c r="C935" t="s">
        <v>55</v>
      </c>
      <c r="D935" t="s">
        <v>70</v>
      </c>
      <c r="E935" t="s">
        <v>68</v>
      </c>
      <c r="F935" s="14">
        <v>1240523349</v>
      </c>
      <c r="G935" s="14">
        <v>1240523349</v>
      </c>
      <c r="H935">
        <f t="shared" si="28"/>
        <v>0</v>
      </c>
      <c r="I935" s="20">
        <f t="shared" si="29"/>
        <v>44501</v>
      </c>
    </row>
    <row r="936" spans="1:9" x14ac:dyDescent="0.2">
      <c r="A936">
        <v>2021</v>
      </c>
      <c r="B936">
        <v>11</v>
      </c>
      <c r="C936" t="s">
        <v>62</v>
      </c>
      <c r="D936" t="s">
        <v>70</v>
      </c>
      <c r="E936" t="s">
        <v>63</v>
      </c>
      <c r="F936" s="14">
        <v>16179027</v>
      </c>
      <c r="G936" s="14">
        <v>9517074</v>
      </c>
      <c r="H936">
        <f t="shared" si="28"/>
        <v>0</v>
      </c>
      <c r="I936" s="20">
        <f t="shared" si="29"/>
        <v>44501</v>
      </c>
    </row>
    <row r="937" spans="1:9" x14ac:dyDescent="0.2">
      <c r="A937">
        <v>2021</v>
      </c>
      <c r="B937">
        <v>11</v>
      </c>
      <c r="C937" t="s">
        <v>64</v>
      </c>
      <c r="D937" t="s">
        <v>70</v>
      </c>
      <c r="E937" t="s">
        <v>68</v>
      </c>
      <c r="F937" s="14">
        <v>1184651</v>
      </c>
      <c r="G937" s="14">
        <v>1184651</v>
      </c>
      <c r="H937">
        <f t="shared" si="28"/>
        <v>0</v>
      </c>
      <c r="I937" s="20">
        <f t="shared" si="29"/>
        <v>44501</v>
      </c>
    </row>
    <row r="938" spans="1:9" x14ac:dyDescent="0.2">
      <c r="A938">
        <v>2021</v>
      </c>
      <c r="B938">
        <v>11</v>
      </c>
      <c r="C938" t="s">
        <v>64</v>
      </c>
      <c r="D938" t="s">
        <v>71</v>
      </c>
      <c r="E938" t="s">
        <v>72</v>
      </c>
      <c r="F938" s="14">
        <v>6435</v>
      </c>
      <c r="G938" s="14">
        <v>6435</v>
      </c>
      <c r="H938">
        <f t="shared" si="28"/>
        <v>0</v>
      </c>
      <c r="I938" s="20">
        <f t="shared" si="29"/>
        <v>44501</v>
      </c>
    </row>
    <row r="939" spans="1:9" x14ac:dyDescent="0.2">
      <c r="A939">
        <v>2021</v>
      </c>
      <c r="B939">
        <v>12</v>
      </c>
      <c r="C939" t="s">
        <v>55</v>
      </c>
      <c r="D939" t="s">
        <v>56</v>
      </c>
      <c r="E939" t="s">
        <v>59</v>
      </c>
      <c r="F939" s="14">
        <v>80701265</v>
      </c>
      <c r="G939" s="14">
        <v>80701265</v>
      </c>
      <c r="H939">
        <f t="shared" si="28"/>
        <v>0</v>
      </c>
      <c r="I939" s="20">
        <f t="shared" si="29"/>
        <v>44531</v>
      </c>
    </row>
    <row r="940" spans="1:9" x14ac:dyDescent="0.2">
      <c r="A940">
        <v>2021</v>
      </c>
      <c r="B940">
        <v>12</v>
      </c>
      <c r="C940" t="s">
        <v>55</v>
      </c>
      <c r="D940" t="s">
        <v>56</v>
      </c>
      <c r="E940" t="s">
        <v>58</v>
      </c>
      <c r="F940" s="14">
        <v>13967492</v>
      </c>
      <c r="G940" s="14">
        <v>13967492</v>
      </c>
      <c r="H940">
        <f t="shared" si="28"/>
        <v>0</v>
      </c>
      <c r="I940" s="20">
        <f t="shared" si="29"/>
        <v>44531</v>
      </c>
    </row>
    <row r="941" spans="1:9" x14ac:dyDescent="0.2">
      <c r="A941">
        <v>2021</v>
      </c>
      <c r="B941">
        <v>12</v>
      </c>
      <c r="C941" t="s">
        <v>64</v>
      </c>
      <c r="D941" t="s">
        <v>56</v>
      </c>
      <c r="E941" t="s">
        <v>59</v>
      </c>
      <c r="F941" s="14">
        <v>4800466</v>
      </c>
      <c r="G941" s="14">
        <v>4800466</v>
      </c>
      <c r="H941">
        <f t="shared" si="28"/>
        <v>0</v>
      </c>
      <c r="I941" s="20">
        <f t="shared" si="29"/>
        <v>44531</v>
      </c>
    </row>
    <row r="942" spans="1:9" x14ac:dyDescent="0.2">
      <c r="A942">
        <v>2021</v>
      </c>
      <c r="B942">
        <v>12</v>
      </c>
      <c r="C942" t="s">
        <v>64</v>
      </c>
      <c r="D942" t="s">
        <v>56</v>
      </c>
      <c r="E942" t="s">
        <v>58</v>
      </c>
      <c r="F942" s="14">
        <v>1155641</v>
      </c>
      <c r="G942" s="14">
        <v>1155641</v>
      </c>
      <c r="H942">
        <f t="shared" si="28"/>
        <v>0</v>
      </c>
      <c r="I942" s="20">
        <f t="shared" si="29"/>
        <v>44531</v>
      </c>
    </row>
    <row r="943" spans="1:9" x14ac:dyDescent="0.2">
      <c r="A943">
        <v>2021</v>
      </c>
      <c r="B943">
        <v>12</v>
      </c>
      <c r="C943" t="s">
        <v>55</v>
      </c>
      <c r="D943" t="s">
        <v>56</v>
      </c>
      <c r="E943" t="s">
        <v>57</v>
      </c>
      <c r="F943" s="14">
        <v>215821</v>
      </c>
      <c r="G943" s="14">
        <v>215821</v>
      </c>
      <c r="H943">
        <f t="shared" si="28"/>
        <v>0</v>
      </c>
      <c r="I943" s="20">
        <f t="shared" si="29"/>
        <v>44531</v>
      </c>
    </row>
    <row r="944" spans="1:9" x14ac:dyDescent="0.2">
      <c r="A944">
        <v>2021</v>
      </c>
      <c r="B944">
        <v>12</v>
      </c>
      <c r="C944" t="s">
        <v>55</v>
      </c>
      <c r="D944" t="s">
        <v>60</v>
      </c>
      <c r="E944" t="s">
        <v>61</v>
      </c>
      <c r="F944" s="14">
        <v>248564865</v>
      </c>
      <c r="G944" s="14">
        <v>165708240</v>
      </c>
      <c r="H944">
        <f t="shared" si="28"/>
        <v>0</v>
      </c>
      <c r="I944" s="20">
        <f t="shared" si="29"/>
        <v>44531</v>
      </c>
    </row>
    <row r="945" spans="1:9" x14ac:dyDescent="0.2">
      <c r="A945">
        <v>2021</v>
      </c>
      <c r="B945">
        <v>12</v>
      </c>
      <c r="C945" t="s">
        <v>55</v>
      </c>
      <c r="D945" t="s">
        <v>60</v>
      </c>
      <c r="E945" t="s">
        <v>63</v>
      </c>
      <c r="F945" s="14">
        <v>182270207</v>
      </c>
      <c r="G945" s="14">
        <v>107217732</v>
      </c>
      <c r="H945">
        <f t="shared" si="28"/>
        <v>0</v>
      </c>
      <c r="I945" s="20">
        <f t="shared" si="29"/>
        <v>44531</v>
      </c>
    </row>
    <row r="946" spans="1:9" x14ac:dyDescent="0.2">
      <c r="A946">
        <v>2021</v>
      </c>
      <c r="B946">
        <v>12</v>
      </c>
      <c r="C946" t="s">
        <v>64</v>
      </c>
      <c r="D946" t="s">
        <v>60</v>
      </c>
      <c r="E946" t="s">
        <v>61</v>
      </c>
      <c r="F946" s="14">
        <v>76891453</v>
      </c>
      <c r="G946" s="14">
        <v>51260934</v>
      </c>
      <c r="H946">
        <f t="shared" si="28"/>
        <v>0</v>
      </c>
      <c r="I946" s="20">
        <f t="shared" si="29"/>
        <v>44531</v>
      </c>
    </row>
    <row r="947" spans="1:9" x14ac:dyDescent="0.2">
      <c r="A947">
        <v>2021</v>
      </c>
      <c r="B947">
        <v>12</v>
      </c>
      <c r="C947" t="s">
        <v>62</v>
      </c>
      <c r="D947" t="s">
        <v>60</v>
      </c>
      <c r="E947" t="s">
        <v>63</v>
      </c>
      <c r="F947" s="14">
        <v>71190891</v>
      </c>
      <c r="G947" s="14">
        <v>41876994</v>
      </c>
      <c r="H947">
        <f t="shared" si="28"/>
        <v>0</v>
      </c>
      <c r="I947" s="20">
        <f t="shared" si="29"/>
        <v>44531</v>
      </c>
    </row>
    <row r="948" spans="1:9" x14ac:dyDescent="0.2">
      <c r="A948">
        <v>2021</v>
      </c>
      <c r="B948">
        <v>12</v>
      </c>
      <c r="C948" t="s">
        <v>62</v>
      </c>
      <c r="D948" t="s">
        <v>60</v>
      </c>
      <c r="E948" t="s">
        <v>76</v>
      </c>
      <c r="F948" s="14">
        <v>4978827</v>
      </c>
      <c r="G948" s="14">
        <v>3111767</v>
      </c>
      <c r="H948">
        <f t="shared" si="28"/>
        <v>0</v>
      </c>
      <c r="I948" s="20">
        <f t="shared" si="29"/>
        <v>44531</v>
      </c>
    </row>
    <row r="949" spans="1:9" x14ac:dyDescent="0.2">
      <c r="A949">
        <v>2021</v>
      </c>
      <c r="B949">
        <v>12</v>
      </c>
      <c r="C949" t="s">
        <v>55</v>
      </c>
      <c r="D949" t="s">
        <v>60</v>
      </c>
      <c r="E949" t="s">
        <v>69</v>
      </c>
      <c r="F949" s="14">
        <v>632688</v>
      </c>
      <c r="G949" s="14">
        <v>395432</v>
      </c>
      <c r="H949">
        <f t="shared" si="28"/>
        <v>0</v>
      </c>
      <c r="I949" s="20">
        <f t="shared" si="29"/>
        <v>44531</v>
      </c>
    </row>
    <row r="950" spans="1:9" x14ac:dyDescent="0.2">
      <c r="A950">
        <v>2021</v>
      </c>
      <c r="B950">
        <v>12</v>
      </c>
      <c r="C950" t="s">
        <v>55</v>
      </c>
      <c r="D950" t="s">
        <v>60</v>
      </c>
      <c r="E950" t="s">
        <v>65</v>
      </c>
      <c r="F950" s="14">
        <v>493605</v>
      </c>
      <c r="G950" s="14">
        <v>308503</v>
      </c>
      <c r="H950">
        <f t="shared" si="28"/>
        <v>1</v>
      </c>
      <c r="I950" s="20">
        <f t="shared" si="29"/>
        <v>44531</v>
      </c>
    </row>
    <row r="951" spans="1:9" x14ac:dyDescent="0.2">
      <c r="A951">
        <v>2021</v>
      </c>
      <c r="B951">
        <v>12</v>
      </c>
      <c r="C951" t="s">
        <v>55</v>
      </c>
      <c r="D951" t="s">
        <v>66</v>
      </c>
      <c r="E951" t="s">
        <v>63</v>
      </c>
      <c r="F951" s="14">
        <v>18789642</v>
      </c>
      <c r="G951" s="14">
        <v>11052730</v>
      </c>
      <c r="H951">
        <f t="shared" si="28"/>
        <v>0</v>
      </c>
      <c r="I951" s="20">
        <f t="shared" si="29"/>
        <v>44531</v>
      </c>
    </row>
    <row r="952" spans="1:9" x14ac:dyDescent="0.2">
      <c r="A952">
        <v>2021</v>
      </c>
      <c r="B952">
        <v>12</v>
      </c>
      <c r="C952" t="s">
        <v>55</v>
      </c>
      <c r="D952" t="s">
        <v>66</v>
      </c>
      <c r="E952" t="s">
        <v>67</v>
      </c>
      <c r="F952" s="14">
        <v>5951191</v>
      </c>
      <c r="G952" s="14">
        <v>3967460</v>
      </c>
      <c r="H952">
        <f t="shared" si="28"/>
        <v>0</v>
      </c>
      <c r="I952" s="20">
        <f t="shared" si="29"/>
        <v>44531</v>
      </c>
    </row>
    <row r="953" spans="1:9" x14ac:dyDescent="0.2">
      <c r="A953">
        <v>2021</v>
      </c>
      <c r="B953">
        <v>12</v>
      </c>
      <c r="C953" t="s">
        <v>55</v>
      </c>
      <c r="D953" t="s">
        <v>66</v>
      </c>
      <c r="E953" t="s">
        <v>68</v>
      </c>
      <c r="F953" s="14">
        <v>2617650</v>
      </c>
      <c r="G953" s="14">
        <v>2617650</v>
      </c>
      <c r="H953">
        <f t="shared" si="28"/>
        <v>0</v>
      </c>
      <c r="I953" s="20">
        <f t="shared" si="29"/>
        <v>44531</v>
      </c>
    </row>
    <row r="954" spans="1:9" x14ac:dyDescent="0.2">
      <c r="A954">
        <v>2021</v>
      </c>
      <c r="B954">
        <v>12</v>
      </c>
      <c r="C954" t="s">
        <v>55</v>
      </c>
      <c r="D954" t="s">
        <v>66</v>
      </c>
      <c r="E954" t="s">
        <v>74</v>
      </c>
      <c r="F954" s="14">
        <v>998505</v>
      </c>
      <c r="G954" s="14">
        <v>907732</v>
      </c>
      <c r="H954">
        <f t="shared" si="28"/>
        <v>0</v>
      </c>
      <c r="I954" s="20">
        <f t="shared" si="29"/>
        <v>44531</v>
      </c>
    </row>
    <row r="955" spans="1:9" x14ac:dyDescent="0.2">
      <c r="A955">
        <v>2021</v>
      </c>
      <c r="B955">
        <v>12</v>
      </c>
      <c r="C955" t="s">
        <v>55</v>
      </c>
      <c r="D955" t="s">
        <v>66</v>
      </c>
      <c r="E955" t="s">
        <v>75</v>
      </c>
      <c r="F955" s="14">
        <v>814915</v>
      </c>
      <c r="G955" s="14">
        <v>582081</v>
      </c>
      <c r="H955">
        <f t="shared" si="28"/>
        <v>0</v>
      </c>
      <c r="I955" s="20">
        <f t="shared" si="29"/>
        <v>44531</v>
      </c>
    </row>
    <row r="956" spans="1:9" x14ac:dyDescent="0.2">
      <c r="A956">
        <v>2021</v>
      </c>
      <c r="B956">
        <v>12</v>
      </c>
      <c r="C956" t="s">
        <v>55</v>
      </c>
      <c r="D956" t="s">
        <v>66</v>
      </c>
      <c r="E956" t="s">
        <v>59</v>
      </c>
      <c r="F956" s="14">
        <v>334997</v>
      </c>
      <c r="G956" s="14">
        <v>334997</v>
      </c>
      <c r="H956">
        <f t="shared" si="28"/>
        <v>0</v>
      </c>
      <c r="I956" s="20">
        <f t="shared" si="29"/>
        <v>44531</v>
      </c>
    </row>
    <row r="957" spans="1:9" x14ac:dyDescent="0.2">
      <c r="A957">
        <v>2021</v>
      </c>
      <c r="B957">
        <v>12</v>
      </c>
      <c r="C957" t="s">
        <v>55</v>
      </c>
      <c r="D957" t="s">
        <v>66</v>
      </c>
      <c r="E957" t="s">
        <v>69</v>
      </c>
      <c r="F957" s="14">
        <v>282584</v>
      </c>
      <c r="G957" s="14">
        <v>176614</v>
      </c>
      <c r="H957">
        <f t="shared" si="28"/>
        <v>0</v>
      </c>
      <c r="I957" s="20">
        <f t="shared" si="29"/>
        <v>44531</v>
      </c>
    </row>
    <row r="958" spans="1:9" x14ac:dyDescent="0.2">
      <c r="A958">
        <v>2021</v>
      </c>
      <c r="B958">
        <v>12</v>
      </c>
      <c r="C958" t="s">
        <v>55</v>
      </c>
      <c r="D958" t="s">
        <v>70</v>
      </c>
      <c r="E958" t="s">
        <v>68</v>
      </c>
      <c r="F958" s="14">
        <v>1291024726</v>
      </c>
      <c r="G958" s="14">
        <v>1291024726</v>
      </c>
      <c r="H958">
        <f t="shared" si="28"/>
        <v>0</v>
      </c>
      <c r="I958" s="20">
        <f t="shared" si="29"/>
        <v>44531</v>
      </c>
    </row>
    <row r="959" spans="1:9" x14ac:dyDescent="0.2">
      <c r="A959">
        <v>2021</v>
      </c>
      <c r="B959">
        <v>12</v>
      </c>
      <c r="C959" t="s">
        <v>62</v>
      </c>
      <c r="D959" t="s">
        <v>70</v>
      </c>
      <c r="E959" t="s">
        <v>63</v>
      </c>
      <c r="F959" s="14">
        <v>7722965</v>
      </c>
      <c r="G959" s="14">
        <v>4542920</v>
      </c>
      <c r="H959">
        <f t="shared" si="28"/>
        <v>0</v>
      </c>
      <c r="I959" s="20">
        <f t="shared" si="29"/>
        <v>44531</v>
      </c>
    </row>
    <row r="960" spans="1:9" x14ac:dyDescent="0.2">
      <c r="A960">
        <v>2021</v>
      </c>
      <c r="B960">
        <v>12</v>
      </c>
      <c r="C960" t="s">
        <v>64</v>
      </c>
      <c r="D960" t="s">
        <v>70</v>
      </c>
      <c r="E960" t="s">
        <v>68</v>
      </c>
      <c r="F960" s="14">
        <v>1245454</v>
      </c>
      <c r="G960" s="14">
        <v>1245454</v>
      </c>
      <c r="H960">
        <f t="shared" si="28"/>
        <v>0</v>
      </c>
      <c r="I960" s="20">
        <f t="shared" si="29"/>
        <v>44531</v>
      </c>
    </row>
    <row r="961" spans="1:9" x14ac:dyDescent="0.2">
      <c r="A961">
        <v>2021</v>
      </c>
      <c r="B961">
        <v>12</v>
      </c>
      <c r="C961" t="s">
        <v>64</v>
      </c>
      <c r="D961" t="s">
        <v>71</v>
      </c>
      <c r="E961" t="s">
        <v>72</v>
      </c>
      <c r="F961" s="14">
        <v>180745</v>
      </c>
      <c r="G961" s="14">
        <v>180745</v>
      </c>
      <c r="H961">
        <f t="shared" si="28"/>
        <v>0</v>
      </c>
      <c r="I961" s="20">
        <f t="shared" si="29"/>
        <v>44531</v>
      </c>
    </row>
    <row r="962" spans="1:9" x14ac:dyDescent="0.2">
      <c r="A962">
        <v>2022</v>
      </c>
      <c r="B962">
        <v>1</v>
      </c>
      <c r="C962" t="s">
        <v>55</v>
      </c>
      <c r="D962" t="s">
        <v>56</v>
      </c>
      <c r="E962" t="s">
        <v>59</v>
      </c>
      <c r="F962" s="14">
        <v>752623</v>
      </c>
      <c r="G962" s="14">
        <v>752623</v>
      </c>
      <c r="H962">
        <f t="shared" si="28"/>
        <v>0</v>
      </c>
      <c r="I962" s="20">
        <f t="shared" si="29"/>
        <v>44562</v>
      </c>
    </row>
    <row r="963" spans="1:9" x14ac:dyDescent="0.2">
      <c r="A963">
        <v>2022</v>
      </c>
      <c r="B963">
        <v>1</v>
      </c>
      <c r="C963" t="s">
        <v>55</v>
      </c>
      <c r="D963" t="s">
        <v>56</v>
      </c>
      <c r="E963" t="s">
        <v>58</v>
      </c>
      <c r="F963" s="14">
        <v>99241</v>
      </c>
      <c r="G963" s="14">
        <v>99241</v>
      </c>
      <c r="H963">
        <f t="shared" ref="H963:H1026" si="30">--ISNUMBER(SEARCH("Jet Fuel",E963))</f>
        <v>0</v>
      </c>
      <c r="I963" s="20">
        <f t="shared" ref="I963:I1026" si="31">DATE(A963,B963,1)</f>
        <v>44562</v>
      </c>
    </row>
    <row r="964" spans="1:9" x14ac:dyDescent="0.2">
      <c r="A964">
        <v>2022</v>
      </c>
      <c r="B964">
        <v>1</v>
      </c>
      <c r="C964" t="s">
        <v>55</v>
      </c>
      <c r="D964" t="s">
        <v>60</v>
      </c>
      <c r="E964" t="s">
        <v>63</v>
      </c>
      <c r="F964" s="14">
        <v>141082518</v>
      </c>
      <c r="G964" s="14">
        <v>82989690</v>
      </c>
      <c r="H964">
        <f t="shared" si="30"/>
        <v>0</v>
      </c>
      <c r="I964" s="20">
        <f t="shared" si="31"/>
        <v>44562</v>
      </c>
    </row>
    <row r="965" spans="1:9" x14ac:dyDescent="0.2">
      <c r="A965">
        <v>2022</v>
      </c>
      <c r="B965">
        <v>1</v>
      </c>
      <c r="C965" t="s">
        <v>55</v>
      </c>
      <c r="D965" t="s">
        <v>60</v>
      </c>
      <c r="E965" t="s">
        <v>61</v>
      </c>
      <c r="F965" s="14">
        <v>136074146</v>
      </c>
      <c r="G965" s="14">
        <v>90715015</v>
      </c>
      <c r="H965">
        <f t="shared" si="30"/>
        <v>0</v>
      </c>
      <c r="I965" s="20">
        <f t="shared" si="31"/>
        <v>44562</v>
      </c>
    </row>
    <row r="966" spans="1:9" x14ac:dyDescent="0.2">
      <c r="A966">
        <v>2022</v>
      </c>
      <c r="B966">
        <v>1</v>
      </c>
      <c r="C966" t="s">
        <v>62</v>
      </c>
      <c r="D966" t="s">
        <v>60</v>
      </c>
      <c r="E966" t="s">
        <v>63</v>
      </c>
      <c r="F966" s="14">
        <v>53159044</v>
      </c>
      <c r="G966" s="14">
        <v>31270026</v>
      </c>
      <c r="H966">
        <f t="shared" si="30"/>
        <v>0</v>
      </c>
      <c r="I966" s="20">
        <f t="shared" si="31"/>
        <v>44562</v>
      </c>
    </row>
    <row r="967" spans="1:9" x14ac:dyDescent="0.2">
      <c r="A967">
        <v>2022</v>
      </c>
      <c r="B967">
        <v>1</v>
      </c>
      <c r="C967" t="s">
        <v>64</v>
      </c>
      <c r="D967" t="s">
        <v>60</v>
      </c>
      <c r="E967" t="s">
        <v>61</v>
      </c>
      <c r="F967" s="14">
        <v>19051597</v>
      </c>
      <c r="G967" s="14">
        <v>12701046</v>
      </c>
      <c r="H967">
        <f t="shared" si="30"/>
        <v>0</v>
      </c>
      <c r="I967" s="20">
        <f t="shared" si="31"/>
        <v>44562</v>
      </c>
    </row>
    <row r="968" spans="1:9" x14ac:dyDescent="0.2">
      <c r="A968">
        <v>2022</v>
      </c>
      <c r="B968">
        <v>1</v>
      </c>
      <c r="C968" t="s">
        <v>62</v>
      </c>
      <c r="D968" t="s">
        <v>60</v>
      </c>
      <c r="E968" t="s">
        <v>76</v>
      </c>
      <c r="F968" s="14">
        <v>5459403</v>
      </c>
      <c r="G968" s="14">
        <v>3412127</v>
      </c>
      <c r="H968">
        <f t="shared" si="30"/>
        <v>0</v>
      </c>
      <c r="I968" s="20">
        <f t="shared" si="31"/>
        <v>44562</v>
      </c>
    </row>
    <row r="969" spans="1:9" x14ac:dyDescent="0.2">
      <c r="A969">
        <v>2022</v>
      </c>
      <c r="B969">
        <v>1</v>
      </c>
      <c r="C969" t="s">
        <v>55</v>
      </c>
      <c r="D969" t="s">
        <v>60</v>
      </c>
      <c r="E969" t="s">
        <v>65</v>
      </c>
      <c r="F969" s="14">
        <v>643392</v>
      </c>
      <c r="G969" s="14">
        <v>402120</v>
      </c>
      <c r="H969">
        <f t="shared" si="30"/>
        <v>1</v>
      </c>
      <c r="I969" s="20">
        <f t="shared" si="31"/>
        <v>44562</v>
      </c>
    </row>
    <row r="970" spans="1:9" x14ac:dyDescent="0.2">
      <c r="A970">
        <v>2022</v>
      </c>
      <c r="B970">
        <v>1</v>
      </c>
      <c r="C970" t="s">
        <v>55</v>
      </c>
      <c r="D970" t="s">
        <v>60</v>
      </c>
      <c r="E970" t="s">
        <v>69</v>
      </c>
      <c r="F970" s="14">
        <v>37939</v>
      </c>
      <c r="G970" s="14">
        <v>23712</v>
      </c>
      <c r="H970">
        <f t="shared" si="30"/>
        <v>0</v>
      </c>
      <c r="I970" s="20">
        <f t="shared" si="31"/>
        <v>44562</v>
      </c>
    </row>
    <row r="971" spans="1:9" x14ac:dyDescent="0.2">
      <c r="A971">
        <v>2022</v>
      </c>
      <c r="B971">
        <v>1</v>
      </c>
      <c r="C971" t="s">
        <v>55</v>
      </c>
      <c r="D971" t="s">
        <v>66</v>
      </c>
      <c r="E971" t="s">
        <v>63</v>
      </c>
      <c r="F971" s="14">
        <v>6834941</v>
      </c>
      <c r="G971" s="14">
        <v>4020554</v>
      </c>
      <c r="H971">
        <f t="shared" si="30"/>
        <v>0</v>
      </c>
      <c r="I971" s="20">
        <f t="shared" si="31"/>
        <v>44562</v>
      </c>
    </row>
    <row r="972" spans="1:9" x14ac:dyDescent="0.2">
      <c r="A972">
        <v>2022</v>
      </c>
      <c r="B972">
        <v>1</v>
      </c>
      <c r="C972" t="s">
        <v>55</v>
      </c>
      <c r="D972" t="s">
        <v>66</v>
      </c>
      <c r="E972" t="s">
        <v>67</v>
      </c>
      <c r="F972" s="14">
        <v>6736803</v>
      </c>
      <c r="G972" s="14">
        <v>4491201</v>
      </c>
      <c r="H972">
        <f t="shared" si="30"/>
        <v>0</v>
      </c>
      <c r="I972" s="20">
        <f t="shared" si="31"/>
        <v>44562</v>
      </c>
    </row>
    <row r="973" spans="1:9" x14ac:dyDescent="0.2">
      <c r="A973">
        <v>2022</v>
      </c>
      <c r="B973">
        <v>1</v>
      </c>
      <c r="C973" t="s">
        <v>55</v>
      </c>
      <c r="D973" t="s">
        <v>66</v>
      </c>
      <c r="E973" t="s">
        <v>68</v>
      </c>
      <c r="F973" s="14">
        <v>2549105</v>
      </c>
      <c r="G973" s="14">
        <v>2549105</v>
      </c>
      <c r="H973">
        <f t="shared" si="30"/>
        <v>0</v>
      </c>
      <c r="I973" s="20">
        <f t="shared" si="31"/>
        <v>44562</v>
      </c>
    </row>
    <row r="974" spans="1:9" x14ac:dyDescent="0.2">
      <c r="A974">
        <v>2022</v>
      </c>
      <c r="B974">
        <v>1</v>
      </c>
      <c r="C974" t="s">
        <v>55</v>
      </c>
      <c r="D974" t="s">
        <v>66</v>
      </c>
      <c r="E974" t="s">
        <v>69</v>
      </c>
      <c r="F974" s="14">
        <v>281372</v>
      </c>
      <c r="G974" s="14">
        <v>175856</v>
      </c>
      <c r="H974">
        <f t="shared" si="30"/>
        <v>0</v>
      </c>
      <c r="I974" s="20">
        <f t="shared" si="31"/>
        <v>44562</v>
      </c>
    </row>
    <row r="975" spans="1:9" x14ac:dyDescent="0.2">
      <c r="A975">
        <v>2022</v>
      </c>
      <c r="B975">
        <v>1</v>
      </c>
      <c r="C975" t="s">
        <v>55</v>
      </c>
      <c r="D975" t="s">
        <v>66</v>
      </c>
      <c r="E975" t="s">
        <v>59</v>
      </c>
      <c r="F975" s="14">
        <v>41162</v>
      </c>
      <c r="G975" s="14">
        <v>41162</v>
      </c>
      <c r="H975">
        <f t="shared" si="30"/>
        <v>0</v>
      </c>
      <c r="I975" s="20">
        <f t="shared" si="31"/>
        <v>44562</v>
      </c>
    </row>
    <row r="976" spans="1:9" x14ac:dyDescent="0.2">
      <c r="A976">
        <v>2022</v>
      </c>
      <c r="B976">
        <v>1</v>
      </c>
      <c r="C976" t="s">
        <v>55</v>
      </c>
      <c r="D976" t="s">
        <v>70</v>
      </c>
      <c r="E976" t="s">
        <v>68</v>
      </c>
      <c r="F976" s="14">
        <v>1206153322</v>
      </c>
      <c r="G976" s="14">
        <v>1206153322</v>
      </c>
      <c r="H976">
        <f t="shared" si="30"/>
        <v>0</v>
      </c>
      <c r="I976" s="20">
        <f t="shared" si="31"/>
        <v>44562</v>
      </c>
    </row>
    <row r="977" spans="1:9" x14ac:dyDescent="0.2">
      <c r="A977">
        <v>2022</v>
      </c>
      <c r="B977">
        <v>1</v>
      </c>
      <c r="C977" t="s">
        <v>62</v>
      </c>
      <c r="D977" t="s">
        <v>70</v>
      </c>
      <c r="E977" t="s">
        <v>63</v>
      </c>
      <c r="F977" s="14">
        <v>5684758</v>
      </c>
      <c r="G977" s="14">
        <v>3343975</v>
      </c>
      <c r="H977">
        <f t="shared" si="30"/>
        <v>0</v>
      </c>
      <c r="I977" s="20">
        <f t="shared" si="31"/>
        <v>44562</v>
      </c>
    </row>
    <row r="978" spans="1:9" x14ac:dyDescent="0.2">
      <c r="A978">
        <v>2022</v>
      </c>
      <c r="B978">
        <v>1</v>
      </c>
      <c r="C978" t="s">
        <v>64</v>
      </c>
      <c r="D978" t="s">
        <v>70</v>
      </c>
      <c r="E978" t="s">
        <v>68</v>
      </c>
      <c r="F978" s="14">
        <v>1073173</v>
      </c>
      <c r="G978" s="14">
        <v>1073173</v>
      </c>
      <c r="H978">
        <f t="shared" si="30"/>
        <v>0</v>
      </c>
      <c r="I978" s="20">
        <f t="shared" si="31"/>
        <v>44562</v>
      </c>
    </row>
    <row r="979" spans="1:9" x14ac:dyDescent="0.2">
      <c r="A979">
        <v>2022</v>
      </c>
      <c r="B979">
        <v>2</v>
      </c>
      <c r="C979" t="s">
        <v>55</v>
      </c>
      <c r="D979" t="s">
        <v>56</v>
      </c>
      <c r="E979" t="s">
        <v>59</v>
      </c>
      <c r="F979" s="14">
        <v>39480978</v>
      </c>
      <c r="G979" s="14">
        <v>39480978</v>
      </c>
      <c r="H979">
        <f t="shared" si="30"/>
        <v>0</v>
      </c>
      <c r="I979" s="20">
        <f t="shared" si="31"/>
        <v>44593</v>
      </c>
    </row>
    <row r="980" spans="1:9" x14ac:dyDescent="0.2">
      <c r="A980">
        <v>2022</v>
      </c>
      <c r="B980">
        <v>2</v>
      </c>
      <c r="C980" t="s">
        <v>55</v>
      </c>
      <c r="D980" t="s">
        <v>56</v>
      </c>
      <c r="E980" t="s">
        <v>58</v>
      </c>
      <c r="F980" s="14">
        <v>6745165</v>
      </c>
      <c r="G980" s="14">
        <v>6745165</v>
      </c>
      <c r="H980">
        <f t="shared" si="30"/>
        <v>0</v>
      </c>
      <c r="I980" s="20">
        <f t="shared" si="31"/>
        <v>44593</v>
      </c>
    </row>
    <row r="981" spans="1:9" x14ac:dyDescent="0.2">
      <c r="A981">
        <v>2022</v>
      </c>
      <c r="B981">
        <v>2</v>
      </c>
      <c r="C981" t="s">
        <v>64</v>
      </c>
      <c r="D981" t="s">
        <v>56</v>
      </c>
      <c r="E981" t="s">
        <v>59</v>
      </c>
      <c r="F981" s="14">
        <v>2668975</v>
      </c>
      <c r="G981" s="14">
        <v>2668975</v>
      </c>
      <c r="H981">
        <f t="shared" si="30"/>
        <v>0</v>
      </c>
      <c r="I981" s="20">
        <f t="shared" si="31"/>
        <v>44593</v>
      </c>
    </row>
    <row r="982" spans="1:9" x14ac:dyDescent="0.2">
      <c r="A982">
        <v>2022</v>
      </c>
      <c r="B982">
        <v>2</v>
      </c>
      <c r="C982" t="s">
        <v>64</v>
      </c>
      <c r="D982" t="s">
        <v>56</v>
      </c>
      <c r="E982" t="s">
        <v>58</v>
      </c>
      <c r="F982" s="14">
        <v>318595</v>
      </c>
      <c r="G982" s="14">
        <v>318595</v>
      </c>
      <c r="H982">
        <f t="shared" si="30"/>
        <v>0</v>
      </c>
      <c r="I982" s="20">
        <f t="shared" si="31"/>
        <v>44593</v>
      </c>
    </row>
    <row r="983" spans="1:9" x14ac:dyDescent="0.2">
      <c r="A983">
        <v>2022</v>
      </c>
      <c r="B983">
        <v>2</v>
      </c>
      <c r="C983" t="s">
        <v>55</v>
      </c>
      <c r="D983" t="s">
        <v>56</v>
      </c>
      <c r="E983" t="s">
        <v>57</v>
      </c>
      <c r="F983" s="14">
        <v>87513</v>
      </c>
      <c r="G983" s="14">
        <v>87513</v>
      </c>
      <c r="H983">
        <f t="shared" si="30"/>
        <v>0</v>
      </c>
      <c r="I983" s="20">
        <f t="shared" si="31"/>
        <v>44593</v>
      </c>
    </row>
    <row r="984" spans="1:9" x14ac:dyDescent="0.2">
      <c r="A984">
        <v>2022</v>
      </c>
      <c r="B984">
        <v>2</v>
      </c>
      <c r="C984" t="s">
        <v>55</v>
      </c>
      <c r="D984" t="s">
        <v>60</v>
      </c>
      <c r="E984" t="s">
        <v>61</v>
      </c>
      <c r="F984" s="14">
        <v>165665990</v>
      </c>
      <c r="G984" s="14">
        <v>110442650</v>
      </c>
      <c r="H984">
        <f t="shared" si="30"/>
        <v>0</v>
      </c>
      <c r="I984" s="20">
        <f t="shared" si="31"/>
        <v>44593</v>
      </c>
    </row>
    <row r="985" spans="1:9" x14ac:dyDescent="0.2">
      <c r="A985">
        <v>2022</v>
      </c>
      <c r="B985">
        <v>2</v>
      </c>
      <c r="C985" t="s">
        <v>55</v>
      </c>
      <c r="D985" t="s">
        <v>60</v>
      </c>
      <c r="E985" t="s">
        <v>63</v>
      </c>
      <c r="F985" s="14">
        <v>163731465</v>
      </c>
      <c r="G985" s="14">
        <v>96312600</v>
      </c>
      <c r="H985">
        <f t="shared" si="30"/>
        <v>0</v>
      </c>
      <c r="I985" s="20">
        <f t="shared" si="31"/>
        <v>44593</v>
      </c>
    </row>
    <row r="986" spans="1:9" x14ac:dyDescent="0.2">
      <c r="A986">
        <v>2022</v>
      </c>
      <c r="B986">
        <v>2</v>
      </c>
      <c r="C986" t="s">
        <v>62</v>
      </c>
      <c r="D986" t="s">
        <v>60</v>
      </c>
      <c r="E986" t="s">
        <v>63</v>
      </c>
      <c r="F986" s="14">
        <v>50415708</v>
      </c>
      <c r="G986" s="14">
        <v>29656299</v>
      </c>
      <c r="H986">
        <f t="shared" si="30"/>
        <v>0</v>
      </c>
      <c r="I986" s="20">
        <f t="shared" si="31"/>
        <v>44593</v>
      </c>
    </row>
    <row r="987" spans="1:9" x14ac:dyDescent="0.2">
      <c r="A987">
        <v>2022</v>
      </c>
      <c r="B987">
        <v>2</v>
      </c>
      <c r="C987" t="s">
        <v>64</v>
      </c>
      <c r="D987" t="s">
        <v>60</v>
      </c>
      <c r="E987" t="s">
        <v>61</v>
      </c>
      <c r="F987" s="14">
        <v>10115757</v>
      </c>
      <c r="G987" s="14">
        <v>6743825</v>
      </c>
      <c r="H987">
        <f t="shared" si="30"/>
        <v>0</v>
      </c>
      <c r="I987" s="20">
        <f t="shared" si="31"/>
        <v>44593</v>
      </c>
    </row>
    <row r="988" spans="1:9" x14ac:dyDescent="0.2">
      <c r="A988">
        <v>2022</v>
      </c>
      <c r="B988">
        <v>2</v>
      </c>
      <c r="C988" t="s">
        <v>62</v>
      </c>
      <c r="D988" t="s">
        <v>60</v>
      </c>
      <c r="E988" t="s">
        <v>65</v>
      </c>
      <c r="F988" s="14">
        <v>2257598</v>
      </c>
      <c r="G988" s="14">
        <v>1410999</v>
      </c>
      <c r="H988">
        <f t="shared" si="30"/>
        <v>1</v>
      </c>
      <c r="I988" s="20">
        <f t="shared" si="31"/>
        <v>44593</v>
      </c>
    </row>
    <row r="989" spans="1:9" x14ac:dyDescent="0.2">
      <c r="A989">
        <v>2022</v>
      </c>
      <c r="B989">
        <v>2</v>
      </c>
      <c r="C989" t="s">
        <v>55</v>
      </c>
      <c r="D989" t="s">
        <v>60</v>
      </c>
      <c r="E989" t="s">
        <v>65</v>
      </c>
      <c r="F989" s="14">
        <v>1774192</v>
      </c>
      <c r="G989" s="14">
        <v>1108870</v>
      </c>
      <c r="H989">
        <f t="shared" si="30"/>
        <v>1</v>
      </c>
      <c r="I989" s="20">
        <f t="shared" si="31"/>
        <v>44593</v>
      </c>
    </row>
    <row r="990" spans="1:9" x14ac:dyDescent="0.2">
      <c r="A990">
        <v>2022</v>
      </c>
      <c r="B990">
        <v>2</v>
      </c>
      <c r="C990" t="s">
        <v>62</v>
      </c>
      <c r="D990" t="s">
        <v>60</v>
      </c>
      <c r="E990" t="s">
        <v>76</v>
      </c>
      <c r="F990" s="14">
        <v>989848</v>
      </c>
      <c r="G990" s="14">
        <v>618655</v>
      </c>
      <c r="H990">
        <f t="shared" si="30"/>
        <v>0</v>
      </c>
      <c r="I990" s="20">
        <f t="shared" si="31"/>
        <v>44593</v>
      </c>
    </row>
    <row r="991" spans="1:9" x14ac:dyDescent="0.2">
      <c r="A991">
        <v>2022</v>
      </c>
      <c r="B991">
        <v>2</v>
      </c>
      <c r="C991" t="s">
        <v>55</v>
      </c>
      <c r="D991" t="s">
        <v>60</v>
      </c>
      <c r="E991" t="s">
        <v>76</v>
      </c>
      <c r="F991" s="14">
        <v>590510</v>
      </c>
      <c r="G991" s="14">
        <v>369069</v>
      </c>
      <c r="H991">
        <f t="shared" si="30"/>
        <v>0</v>
      </c>
      <c r="I991" s="20">
        <f t="shared" si="31"/>
        <v>44593</v>
      </c>
    </row>
    <row r="992" spans="1:9" x14ac:dyDescent="0.2">
      <c r="A992">
        <v>2022</v>
      </c>
      <c r="B992">
        <v>2</v>
      </c>
      <c r="C992" t="s">
        <v>64</v>
      </c>
      <c r="D992" t="s">
        <v>66</v>
      </c>
      <c r="E992" t="s">
        <v>68</v>
      </c>
      <c r="F992" s="14">
        <v>10691838</v>
      </c>
      <c r="G992" s="14">
        <v>10691838</v>
      </c>
      <c r="H992">
        <f t="shared" si="30"/>
        <v>0</v>
      </c>
      <c r="I992" s="20">
        <f t="shared" si="31"/>
        <v>44593</v>
      </c>
    </row>
    <row r="993" spans="1:9" x14ac:dyDescent="0.2">
      <c r="A993">
        <v>2022</v>
      </c>
      <c r="B993">
        <v>2</v>
      </c>
      <c r="C993" t="s">
        <v>55</v>
      </c>
      <c r="D993" t="s">
        <v>66</v>
      </c>
      <c r="E993" t="s">
        <v>63</v>
      </c>
      <c r="F993" s="14">
        <v>8015199</v>
      </c>
      <c r="G993" s="14">
        <v>4714822</v>
      </c>
      <c r="H993">
        <f t="shared" si="30"/>
        <v>0</v>
      </c>
      <c r="I993" s="20">
        <f t="shared" si="31"/>
        <v>44593</v>
      </c>
    </row>
    <row r="994" spans="1:9" x14ac:dyDescent="0.2">
      <c r="A994">
        <v>2022</v>
      </c>
      <c r="B994">
        <v>2</v>
      </c>
      <c r="C994" t="s">
        <v>55</v>
      </c>
      <c r="D994" t="s">
        <v>66</v>
      </c>
      <c r="E994" t="s">
        <v>67</v>
      </c>
      <c r="F994" s="14">
        <v>5721423</v>
      </c>
      <c r="G994" s="14">
        <v>3814281</v>
      </c>
      <c r="H994">
        <f t="shared" si="30"/>
        <v>0</v>
      </c>
      <c r="I994" s="20">
        <f t="shared" si="31"/>
        <v>44593</v>
      </c>
    </row>
    <row r="995" spans="1:9" x14ac:dyDescent="0.2">
      <c r="A995">
        <v>2022</v>
      </c>
      <c r="B995">
        <v>2</v>
      </c>
      <c r="C995" t="s">
        <v>55</v>
      </c>
      <c r="D995" t="s">
        <v>66</v>
      </c>
      <c r="E995" t="s">
        <v>68</v>
      </c>
      <c r="F995" s="14">
        <v>2436030</v>
      </c>
      <c r="G995" s="14">
        <v>2436030</v>
      </c>
      <c r="H995">
        <f t="shared" si="30"/>
        <v>0</v>
      </c>
      <c r="I995" s="20">
        <f t="shared" si="31"/>
        <v>44593</v>
      </c>
    </row>
    <row r="996" spans="1:9" x14ac:dyDescent="0.2">
      <c r="A996">
        <v>2022</v>
      </c>
      <c r="B996">
        <v>2</v>
      </c>
      <c r="C996" t="s">
        <v>55</v>
      </c>
      <c r="D996" t="s">
        <v>66</v>
      </c>
      <c r="E996" t="s">
        <v>74</v>
      </c>
      <c r="F996" s="14">
        <v>552755</v>
      </c>
      <c r="G996" s="14">
        <v>502505</v>
      </c>
      <c r="H996">
        <f t="shared" si="30"/>
        <v>0</v>
      </c>
      <c r="I996" s="20">
        <f t="shared" si="31"/>
        <v>44593</v>
      </c>
    </row>
    <row r="997" spans="1:9" x14ac:dyDescent="0.2">
      <c r="A997">
        <v>2022</v>
      </c>
      <c r="B997">
        <v>2</v>
      </c>
      <c r="C997" t="s">
        <v>55</v>
      </c>
      <c r="D997" t="s">
        <v>66</v>
      </c>
      <c r="E997" t="s">
        <v>69</v>
      </c>
      <c r="F997" s="14">
        <v>189336</v>
      </c>
      <c r="G997" s="14">
        <v>118334</v>
      </c>
      <c r="H997">
        <f t="shared" si="30"/>
        <v>0</v>
      </c>
      <c r="I997" s="20">
        <f t="shared" si="31"/>
        <v>44593</v>
      </c>
    </row>
    <row r="998" spans="1:9" x14ac:dyDescent="0.2">
      <c r="A998">
        <v>2022</v>
      </c>
      <c r="B998">
        <v>2</v>
      </c>
      <c r="C998" t="s">
        <v>55</v>
      </c>
      <c r="D998" t="s">
        <v>66</v>
      </c>
      <c r="E998" t="s">
        <v>59</v>
      </c>
      <c r="F998" s="14">
        <v>136915</v>
      </c>
      <c r="G998" s="14">
        <v>136915</v>
      </c>
      <c r="H998">
        <f t="shared" si="30"/>
        <v>0</v>
      </c>
      <c r="I998" s="20">
        <f t="shared" si="31"/>
        <v>44593</v>
      </c>
    </row>
    <row r="999" spans="1:9" x14ac:dyDescent="0.2">
      <c r="A999">
        <v>2022</v>
      </c>
      <c r="B999">
        <v>2</v>
      </c>
      <c r="C999" t="s">
        <v>55</v>
      </c>
      <c r="D999" t="s">
        <v>70</v>
      </c>
      <c r="E999" t="s">
        <v>68</v>
      </c>
      <c r="F999" s="14">
        <v>1065448384</v>
      </c>
      <c r="G999" s="14">
        <v>1065448384</v>
      </c>
      <c r="H999">
        <f t="shared" si="30"/>
        <v>0</v>
      </c>
      <c r="I999" s="20">
        <f t="shared" si="31"/>
        <v>44593</v>
      </c>
    </row>
    <row r="1000" spans="1:9" x14ac:dyDescent="0.2">
      <c r="A1000">
        <v>2022</v>
      </c>
      <c r="B1000">
        <v>2</v>
      </c>
      <c r="C1000" t="s">
        <v>62</v>
      </c>
      <c r="D1000" t="s">
        <v>70</v>
      </c>
      <c r="E1000" t="s">
        <v>63</v>
      </c>
      <c r="F1000" s="14">
        <v>6625390</v>
      </c>
      <c r="G1000" s="14">
        <v>3897288</v>
      </c>
      <c r="H1000">
        <f t="shared" si="30"/>
        <v>0</v>
      </c>
      <c r="I1000" s="20">
        <f t="shared" si="31"/>
        <v>44593</v>
      </c>
    </row>
    <row r="1001" spans="1:9" x14ac:dyDescent="0.2">
      <c r="A1001">
        <v>2022</v>
      </c>
      <c r="B1001">
        <v>2</v>
      </c>
      <c r="C1001" t="s">
        <v>64</v>
      </c>
      <c r="D1001" t="s">
        <v>70</v>
      </c>
      <c r="E1001" t="s">
        <v>68</v>
      </c>
      <c r="F1001" s="14">
        <v>988951</v>
      </c>
      <c r="G1001" s="14">
        <v>988951</v>
      </c>
      <c r="H1001">
        <f t="shared" si="30"/>
        <v>0</v>
      </c>
      <c r="I1001" s="20">
        <f t="shared" si="31"/>
        <v>44593</v>
      </c>
    </row>
    <row r="1002" spans="1:9" x14ac:dyDescent="0.2">
      <c r="A1002">
        <v>2022</v>
      </c>
      <c r="B1002">
        <v>2</v>
      </c>
      <c r="C1002" t="s">
        <v>64</v>
      </c>
      <c r="D1002" t="s">
        <v>71</v>
      </c>
      <c r="E1002" t="s">
        <v>72</v>
      </c>
      <c r="F1002" s="14">
        <v>58930</v>
      </c>
      <c r="G1002" s="14">
        <v>58930</v>
      </c>
      <c r="H1002">
        <f t="shared" si="30"/>
        <v>0</v>
      </c>
      <c r="I1002" s="20">
        <f t="shared" si="31"/>
        <v>44593</v>
      </c>
    </row>
    <row r="1003" spans="1:9" x14ac:dyDescent="0.2">
      <c r="A1003">
        <v>2022</v>
      </c>
      <c r="B1003">
        <v>3</v>
      </c>
      <c r="C1003" t="s">
        <v>55</v>
      </c>
      <c r="D1003" t="s">
        <v>56</v>
      </c>
      <c r="E1003" t="s">
        <v>59</v>
      </c>
      <c r="F1003" s="14">
        <v>35685257</v>
      </c>
      <c r="G1003" s="14">
        <v>35685257</v>
      </c>
      <c r="H1003">
        <f t="shared" si="30"/>
        <v>0</v>
      </c>
      <c r="I1003" s="20">
        <f t="shared" si="31"/>
        <v>44621</v>
      </c>
    </row>
    <row r="1004" spans="1:9" x14ac:dyDescent="0.2">
      <c r="A1004">
        <v>2022</v>
      </c>
      <c r="B1004">
        <v>3</v>
      </c>
      <c r="C1004" t="s">
        <v>55</v>
      </c>
      <c r="D1004" t="s">
        <v>56</v>
      </c>
      <c r="E1004" t="s">
        <v>58</v>
      </c>
      <c r="F1004" s="14">
        <v>6583858</v>
      </c>
      <c r="G1004" s="14">
        <v>6583858</v>
      </c>
      <c r="H1004">
        <f t="shared" si="30"/>
        <v>0</v>
      </c>
      <c r="I1004" s="20">
        <f t="shared" si="31"/>
        <v>44621</v>
      </c>
    </row>
    <row r="1005" spans="1:9" x14ac:dyDescent="0.2">
      <c r="A1005">
        <v>2022</v>
      </c>
      <c r="B1005">
        <v>3</v>
      </c>
      <c r="C1005" t="s">
        <v>64</v>
      </c>
      <c r="D1005" t="s">
        <v>56</v>
      </c>
      <c r="E1005" t="s">
        <v>59</v>
      </c>
      <c r="F1005" s="14">
        <v>2618524</v>
      </c>
      <c r="G1005" s="14">
        <v>2618524</v>
      </c>
      <c r="H1005">
        <f t="shared" si="30"/>
        <v>0</v>
      </c>
      <c r="I1005" s="20">
        <f t="shared" si="31"/>
        <v>44621</v>
      </c>
    </row>
    <row r="1006" spans="1:9" x14ac:dyDescent="0.2">
      <c r="A1006">
        <v>2022</v>
      </c>
      <c r="B1006">
        <v>3</v>
      </c>
      <c r="C1006" t="s">
        <v>55</v>
      </c>
      <c r="D1006" t="s">
        <v>60</v>
      </c>
      <c r="E1006" t="s">
        <v>61</v>
      </c>
      <c r="F1006" s="14">
        <v>203803656</v>
      </c>
      <c r="G1006" s="14">
        <v>135867416</v>
      </c>
      <c r="H1006">
        <f t="shared" si="30"/>
        <v>0</v>
      </c>
      <c r="I1006" s="20">
        <f t="shared" si="31"/>
        <v>44621</v>
      </c>
    </row>
    <row r="1007" spans="1:9" x14ac:dyDescent="0.2">
      <c r="A1007">
        <v>2022</v>
      </c>
      <c r="B1007">
        <v>3</v>
      </c>
      <c r="C1007" t="s">
        <v>55</v>
      </c>
      <c r="D1007" t="s">
        <v>60</v>
      </c>
      <c r="E1007" t="s">
        <v>63</v>
      </c>
      <c r="F1007" s="14">
        <v>178551482</v>
      </c>
      <c r="G1007" s="14">
        <v>105030255</v>
      </c>
      <c r="H1007">
        <f t="shared" si="30"/>
        <v>0</v>
      </c>
      <c r="I1007" s="20">
        <f t="shared" si="31"/>
        <v>44621</v>
      </c>
    </row>
    <row r="1008" spans="1:9" x14ac:dyDescent="0.2">
      <c r="A1008">
        <v>2022</v>
      </c>
      <c r="B1008">
        <v>3</v>
      </c>
      <c r="C1008" t="s">
        <v>62</v>
      </c>
      <c r="D1008" t="s">
        <v>60</v>
      </c>
      <c r="E1008" t="s">
        <v>63</v>
      </c>
      <c r="F1008" s="14">
        <v>63335520</v>
      </c>
      <c r="G1008" s="14">
        <v>37256188</v>
      </c>
      <c r="H1008">
        <f t="shared" si="30"/>
        <v>0</v>
      </c>
      <c r="I1008" s="20">
        <f t="shared" si="31"/>
        <v>44621</v>
      </c>
    </row>
    <row r="1009" spans="1:9" x14ac:dyDescent="0.2">
      <c r="A1009">
        <v>2022</v>
      </c>
      <c r="B1009">
        <v>3</v>
      </c>
      <c r="C1009" t="s">
        <v>64</v>
      </c>
      <c r="D1009" t="s">
        <v>60</v>
      </c>
      <c r="E1009" t="s">
        <v>61</v>
      </c>
      <c r="F1009" s="14">
        <v>34021039</v>
      </c>
      <c r="G1009" s="14">
        <v>22680677</v>
      </c>
      <c r="H1009">
        <f t="shared" si="30"/>
        <v>0</v>
      </c>
      <c r="I1009" s="20">
        <f t="shared" si="31"/>
        <v>44621</v>
      </c>
    </row>
    <row r="1010" spans="1:9" x14ac:dyDescent="0.2">
      <c r="A1010">
        <v>2022</v>
      </c>
      <c r="B1010">
        <v>3</v>
      </c>
      <c r="C1010" t="s">
        <v>62</v>
      </c>
      <c r="D1010" t="s">
        <v>60</v>
      </c>
      <c r="E1010" t="s">
        <v>76</v>
      </c>
      <c r="F1010" s="14">
        <v>5157943</v>
      </c>
      <c r="G1010" s="14">
        <v>3223714</v>
      </c>
      <c r="H1010">
        <f t="shared" si="30"/>
        <v>0</v>
      </c>
      <c r="I1010" s="20">
        <f t="shared" si="31"/>
        <v>44621</v>
      </c>
    </row>
    <row r="1011" spans="1:9" x14ac:dyDescent="0.2">
      <c r="A1011">
        <v>2022</v>
      </c>
      <c r="B1011">
        <v>3</v>
      </c>
      <c r="C1011" t="s">
        <v>62</v>
      </c>
      <c r="D1011" t="s">
        <v>60</v>
      </c>
      <c r="E1011" t="s">
        <v>65</v>
      </c>
      <c r="F1011" s="14">
        <v>3033554</v>
      </c>
      <c r="G1011" s="14">
        <v>1895971</v>
      </c>
      <c r="H1011">
        <f t="shared" si="30"/>
        <v>1</v>
      </c>
      <c r="I1011" s="20">
        <f t="shared" si="31"/>
        <v>44621</v>
      </c>
    </row>
    <row r="1012" spans="1:9" x14ac:dyDescent="0.2">
      <c r="A1012">
        <v>2022</v>
      </c>
      <c r="B1012">
        <v>3</v>
      </c>
      <c r="C1012" t="s">
        <v>55</v>
      </c>
      <c r="D1012" t="s">
        <v>60</v>
      </c>
      <c r="E1012" t="s">
        <v>65</v>
      </c>
      <c r="F1012" s="14">
        <v>1642458</v>
      </c>
      <c r="G1012" s="14">
        <v>1026537</v>
      </c>
      <c r="H1012">
        <f t="shared" si="30"/>
        <v>1</v>
      </c>
      <c r="I1012" s="20">
        <f t="shared" si="31"/>
        <v>44621</v>
      </c>
    </row>
    <row r="1013" spans="1:9" x14ac:dyDescent="0.2">
      <c r="A1013">
        <v>2022</v>
      </c>
      <c r="B1013">
        <v>3</v>
      </c>
      <c r="C1013" t="s">
        <v>55</v>
      </c>
      <c r="D1013" t="s">
        <v>60</v>
      </c>
      <c r="E1013" t="s">
        <v>76</v>
      </c>
      <c r="F1013" s="14">
        <v>395270</v>
      </c>
      <c r="G1013" s="14">
        <v>247044</v>
      </c>
      <c r="H1013">
        <f t="shared" si="30"/>
        <v>0</v>
      </c>
      <c r="I1013" s="20">
        <f t="shared" si="31"/>
        <v>44621</v>
      </c>
    </row>
    <row r="1014" spans="1:9" x14ac:dyDescent="0.2">
      <c r="A1014">
        <v>2022</v>
      </c>
      <c r="B1014">
        <v>3</v>
      </c>
      <c r="C1014" t="s">
        <v>55</v>
      </c>
      <c r="D1014" t="s">
        <v>66</v>
      </c>
      <c r="E1014" t="s">
        <v>63</v>
      </c>
      <c r="F1014" s="14">
        <v>8123722</v>
      </c>
      <c r="G1014" s="14">
        <v>4778660</v>
      </c>
      <c r="H1014">
        <f t="shared" si="30"/>
        <v>0</v>
      </c>
      <c r="I1014" s="20">
        <f t="shared" si="31"/>
        <v>44621</v>
      </c>
    </row>
    <row r="1015" spans="1:9" x14ac:dyDescent="0.2">
      <c r="A1015">
        <v>2022</v>
      </c>
      <c r="B1015">
        <v>3</v>
      </c>
      <c r="C1015" t="s">
        <v>55</v>
      </c>
      <c r="D1015" t="s">
        <v>66</v>
      </c>
      <c r="E1015" t="s">
        <v>67</v>
      </c>
      <c r="F1015" s="14">
        <v>6393205</v>
      </c>
      <c r="G1015" s="14">
        <v>4262133</v>
      </c>
      <c r="H1015">
        <f t="shared" si="30"/>
        <v>0</v>
      </c>
      <c r="I1015" s="20">
        <f t="shared" si="31"/>
        <v>44621</v>
      </c>
    </row>
    <row r="1016" spans="1:9" x14ac:dyDescent="0.2">
      <c r="A1016">
        <v>2022</v>
      </c>
      <c r="B1016">
        <v>3</v>
      </c>
      <c r="C1016" t="s">
        <v>55</v>
      </c>
      <c r="D1016" t="s">
        <v>66</v>
      </c>
      <c r="E1016" t="s">
        <v>68</v>
      </c>
      <c r="F1016" s="14">
        <v>2331151</v>
      </c>
      <c r="G1016" s="14">
        <v>2331151</v>
      </c>
      <c r="H1016">
        <f t="shared" si="30"/>
        <v>0</v>
      </c>
      <c r="I1016" s="20">
        <f t="shared" si="31"/>
        <v>44621</v>
      </c>
    </row>
    <row r="1017" spans="1:9" x14ac:dyDescent="0.2">
      <c r="A1017">
        <v>2022</v>
      </c>
      <c r="B1017">
        <v>3</v>
      </c>
      <c r="C1017" t="s">
        <v>55</v>
      </c>
      <c r="D1017" t="s">
        <v>66</v>
      </c>
      <c r="E1017" t="s">
        <v>75</v>
      </c>
      <c r="F1017" s="14">
        <v>733026</v>
      </c>
      <c r="G1017" s="14">
        <v>523590</v>
      </c>
      <c r="H1017">
        <f t="shared" si="30"/>
        <v>0</v>
      </c>
      <c r="I1017" s="20">
        <f t="shared" si="31"/>
        <v>44621</v>
      </c>
    </row>
    <row r="1018" spans="1:9" x14ac:dyDescent="0.2">
      <c r="A1018">
        <v>2022</v>
      </c>
      <c r="B1018">
        <v>3</v>
      </c>
      <c r="C1018" t="s">
        <v>55</v>
      </c>
      <c r="D1018" t="s">
        <v>66</v>
      </c>
      <c r="E1018" t="s">
        <v>69</v>
      </c>
      <c r="F1018" s="14">
        <v>460538</v>
      </c>
      <c r="G1018" s="14">
        <v>287837</v>
      </c>
      <c r="H1018">
        <f t="shared" si="30"/>
        <v>0</v>
      </c>
      <c r="I1018" s="20">
        <f t="shared" si="31"/>
        <v>44621</v>
      </c>
    </row>
    <row r="1019" spans="1:9" x14ac:dyDescent="0.2">
      <c r="A1019">
        <v>2022</v>
      </c>
      <c r="B1019">
        <v>3</v>
      </c>
      <c r="C1019" t="s">
        <v>55</v>
      </c>
      <c r="D1019" t="s">
        <v>66</v>
      </c>
      <c r="E1019" t="s">
        <v>74</v>
      </c>
      <c r="F1019" s="14">
        <v>449898</v>
      </c>
      <c r="G1019" s="14">
        <v>408998</v>
      </c>
      <c r="H1019">
        <f t="shared" si="30"/>
        <v>0</v>
      </c>
      <c r="I1019" s="20">
        <f t="shared" si="31"/>
        <v>44621</v>
      </c>
    </row>
    <row r="1020" spans="1:9" x14ac:dyDescent="0.2">
      <c r="A1020">
        <v>2022</v>
      </c>
      <c r="B1020">
        <v>3</v>
      </c>
      <c r="C1020" t="s">
        <v>55</v>
      </c>
      <c r="D1020" t="s">
        <v>66</v>
      </c>
      <c r="E1020" t="s">
        <v>59</v>
      </c>
      <c r="F1020" s="14">
        <v>173422</v>
      </c>
      <c r="G1020" s="14">
        <v>173422</v>
      </c>
      <c r="H1020">
        <f t="shared" si="30"/>
        <v>0</v>
      </c>
      <c r="I1020" s="20">
        <f t="shared" si="31"/>
        <v>44621</v>
      </c>
    </row>
    <row r="1021" spans="1:9" x14ac:dyDescent="0.2">
      <c r="A1021">
        <v>2022</v>
      </c>
      <c r="B1021">
        <v>3</v>
      </c>
      <c r="C1021" t="s">
        <v>55</v>
      </c>
      <c r="D1021" t="s">
        <v>70</v>
      </c>
      <c r="E1021" t="s">
        <v>68</v>
      </c>
      <c r="F1021" s="14">
        <v>1259985238</v>
      </c>
      <c r="G1021" s="14">
        <v>1259985238</v>
      </c>
      <c r="H1021">
        <f t="shared" si="30"/>
        <v>0</v>
      </c>
      <c r="I1021" s="20">
        <f t="shared" si="31"/>
        <v>44621</v>
      </c>
    </row>
    <row r="1022" spans="1:9" x14ac:dyDescent="0.2">
      <c r="A1022">
        <v>2022</v>
      </c>
      <c r="B1022">
        <v>3</v>
      </c>
      <c r="C1022" t="s">
        <v>62</v>
      </c>
      <c r="D1022" t="s">
        <v>70</v>
      </c>
      <c r="E1022" t="s">
        <v>63</v>
      </c>
      <c r="F1022" s="14">
        <v>9784545</v>
      </c>
      <c r="G1022" s="14">
        <v>5755615</v>
      </c>
      <c r="H1022">
        <f t="shared" si="30"/>
        <v>0</v>
      </c>
      <c r="I1022" s="20">
        <f t="shared" si="31"/>
        <v>44621</v>
      </c>
    </row>
    <row r="1023" spans="1:9" x14ac:dyDescent="0.2">
      <c r="A1023">
        <v>2022</v>
      </c>
      <c r="B1023">
        <v>3</v>
      </c>
      <c r="C1023" t="s">
        <v>64</v>
      </c>
      <c r="D1023" t="s">
        <v>70</v>
      </c>
      <c r="E1023" t="s">
        <v>68</v>
      </c>
      <c r="F1023" s="14">
        <v>1088289</v>
      </c>
      <c r="G1023" s="14">
        <v>1088289</v>
      </c>
      <c r="H1023">
        <f t="shared" si="30"/>
        <v>0</v>
      </c>
      <c r="I1023" s="20">
        <f t="shared" si="31"/>
        <v>44621</v>
      </c>
    </row>
    <row r="1024" spans="1:9" x14ac:dyDescent="0.2">
      <c r="A1024">
        <v>2022</v>
      </c>
      <c r="B1024">
        <v>4</v>
      </c>
      <c r="C1024" t="s">
        <v>55</v>
      </c>
      <c r="D1024" t="s">
        <v>56</v>
      </c>
      <c r="E1024" t="s">
        <v>59</v>
      </c>
      <c r="F1024" s="14">
        <v>40668142</v>
      </c>
      <c r="G1024" s="14">
        <v>40668142</v>
      </c>
      <c r="H1024">
        <f t="shared" si="30"/>
        <v>0</v>
      </c>
      <c r="I1024" s="20">
        <f t="shared" si="31"/>
        <v>44652</v>
      </c>
    </row>
    <row r="1025" spans="1:9" x14ac:dyDescent="0.2">
      <c r="A1025">
        <v>2022</v>
      </c>
      <c r="B1025">
        <v>4</v>
      </c>
      <c r="C1025" t="s">
        <v>55</v>
      </c>
      <c r="D1025" t="s">
        <v>56</v>
      </c>
      <c r="E1025" t="s">
        <v>58</v>
      </c>
      <c r="F1025" s="14">
        <v>7329733</v>
      </c>
      <c r="G1025" s="14">
        <v>7329733</v>
      </c>
      <c r="H1025">
        <f t="shared" si="30"/>
        <v>0</v>
      </c>
      <c r="I1025" s="20">
        <f t="shared" si="31"/>
        <v>44652</v>
      </c>
    </row>
    <row r="1026" spans="1:9" x14ac:dyDescent="0.2">
      <c r="A1026">
        <v>2022</v>
      </c>
      <c r="B1026">
        <v>4</v>
      </c>
      <c r="C1026" t="s">
        <v>64</v>
      </c>
      <c r="D1026" t="s">
        <v>56</v>
      </c>
      <c r="E1026" t="s">
        <v>59</v>
      </c>
      <c r="F1026" s="14">
        <v>2802900</v>
      </c>
      <c r="G1026" s="14">
        <v>2802900</v>
      </c>
      <c r="H1026">
        <f t="shared" si="30"/>
        <v>0</v>
      </c>
      <c r="I1026" s="20">
        <f t="shared" si="31"/>
        <v>44652</v>
      </c>
    </row>
    <row r="1027" spans="1:9" x14ac:dyDescent="0.2">
      <c r="A1027">
        <v>2022</v>
      </c>
      <c r="B1027">
        <v>4</v>
      </c>
      <c r="C1027" t="s">
        <v>64</v>
      </c>
      <c r="D1027" t="s">
        <v>56</v>
      </c>
      <c r="E1027" t="s">
        <v>58</v>
      </c>
      <c r="F1027" s="14">
        <v>157204</v>
      </c>
      <c r="G1027" s="14">
        <v>157204</v>
      </c>
      <c r="H1027">
        <f t="shared" ref="H1027:H1090" si="32">--ISNUMBER(SEARCH("Jet Fuel",E1027))</f>
        <v>0</v>
      </c>
      <c r="I1027" s="20">
        <f t="shared" ref="I1027:I1090" si="33">DATE(A1027,B1027,1)</f>
        <v>44652</v>
      </c>
    </row>
    <row r="1028" spans="1:9" x14ac:dyDescent="0.2">
      <c r="A1028">
        <v>2022</v>
      </c>
      <c r="B1028">
        <v>4</v>
      </c>
      <c r="C1028" t="s">
        <v>55</v>
      </c>
      <c r="D1028" t="s">
        <v>56</v>
      </c>
      <c r="E1028" t="s">
        <v>57</v>
      </c>
      <c r="F1028" s="14">
        <v>86794</v>
      </c>
      <c r="G1028" s="14">
        <v>86794</v>
      </c>
      <c r="H1028">
        <f t="shared" si="32"/>
        <v>0</v>
      </c>
      <c r="I1028" s="20">
        <f t="shared" si="33"/>
        <v>44652</v>
      </c>
    </row>
    <row r="1029" spans="1:9" x14ac:dyDescent="0.2">
      <c r="A1029">
        <v>2022</v>
      </c>
      <c r="B1029">
        <v>4</v>
      </c>
      <c r="C1029" t="s">
        <v>55</v>
      </c>
      <c r="D1029" t="s">
        <v>60</v>
      </c>
      <c r="E1029" t="s">
        <v>61</v>
      </c>
      <c r="F1029" s="14">
        <v>216431723</v>
      </c>
      <c r="G1029" s="14">
        <v>144286382</v>
      </c>
      <c r="H1029">
        <f t="shared" si="32"/>
        <v>0</v>
      </c>
      <c r="I1029" s="20">
        <f t="shared" si="33"/>
        <v>44652</v>
      </c>
    </row>
    <row r="1030" spans="1:9" x14ac:dyDescent="0.2">
      <c r="A1030">
        <v>2022</v>
      </c>
      <c r="B1030">
        <v>4</v>
      </c>
      <c r="C1030" t="s">
        <v>55</v>
      </c>
      <c r="D1030" t="s">
        <v>60</v>
      </c>
      <c r="E1030" t="s">
        <v>63</v>
      </c>
      <c r="F1030" s="14">
        <v>172020044</v>
      </c>
      <c r="G1030" s="14">
        <v>101188242</v>
      </c>
      <c r="H1030">
        <f t="shared" si="32"/>
        <v>0</v>
      </c>
      <c r="I1030" s="20">
        <f t="shared" si="33"/>
        <v>44652</v>
      </c>
    </row>
    <row r="1031" spans="1:9" x14ac:dyDescent="0.2">
      <c r="A1031">
        <v>2022</v>
      </c>
      <c r="B1031">
        <v>4</v>
      </c>
      <c r="C1031" t="s">
        <v>62</v>
      </c>
      <c r="D1031" t="s">
        <v>60</v>
      </c>
      <c r="E1031" t="s">
        <v>63</v>
      </c>
      <c r="F1031" s="14">
        <v>64763053</v>
      </c>
      <c r="G1031" s="14">
        <v>38095913</v>
      </c>
      <c r="H1031">
        <f t="shared" si="32"/>
        <v>0</v>
      </c>
      <c r="I1031" s="20">
        <f t="shared" si="33"/>
        <v>44652</v>
      </c>
    </row>
    <row r="1032" spans="1:9" x14ac:dyDescent="0.2">
      <c r="A1032">
        <v>2022</v>
      </c>
      <c r="B1032">
        <v>4</v>
      </c>
      <c r="C1032" t="s">
        <v>64</v>
      </c>
      <c r="D1032" t="s">
        <v>60</v>
      </c>
      <c r="E1032" t="s">
        <v>61</v>
      </c>
      <c r="F1032" s="14">
        <v>44809859</v>
      </c>
      <c r="G1032" s="14">
        <v>29873220</v>
      </c>
      <c r="H1032">
        <f t="shared" si="32"/>
        <v>0</v>
      </c>
      <c r="I1032" s="20">
        <f t="shared" si="33"/>
        <v>44652</v>
      </c>
    </row>
    <row r="1033" spans="1:9" x14ac:dyDescent="0.2">
      <c r="A1033">
        <v>2022</v>
      </c>
      <c r="B1033">
        <v>4</v>
      </c>
      <c r="C1033" t="s">
        <v>55</v>
      </c>
      <c r="D1033" t="s">
        <v>60</v>
      </c>
      <c r="E1033" t="s">
        <v>65</v>
      </c>
      <c r="F1033" s="14">
        <v>654386</v>
      </c>
      <c r="G1033" s="14">
        <v>408991</v>
      </c>
      <c r="H1033">
        <f t="shared" si="32"/>
        <v>1</v>
      </c>
      <c r="I1033" s="20">
        <f t="shared" si="33"/>
        <v>44652</v>
      </c>
    </row>
    <row r="1034" spans="1:9" x14ac:dyDescent="0.2">
      <c r="A1034">
        <v>2022</v>
      </c>
      <c r="B1034">
        <v>4</v>
      </c>
      <c r="C1034" t="s">
        <v>55</v>
      </c>
      <c r="D1034" t="s">
        <v>66</v>
      </c>
      <c r="E1034" t="s">
        <v>63</v>
      </c>
      <c r="F1034" s="14">
        <v>8997114</v>
      </c>
      <c r="G1034" s="14">
        <v>5292420</v>
      </c>
      <c r="H1034">
        <f t="shared" si="32"/>
        <v>0</v>
      </c>
      <c r="I1034" s="20">
        <f t="shared" si="33"/>
        <v>44652</v>
      </c>
    </row>
    <row r="1035" spans="1:9" x14ac:dyDescent="0.2">
      <c r="A1035">
        <v>2022</v>
      </c>
      <c r="B1035">
        <v>4</v>
      </c>
      <c r="C1035" t="s">
        <v>55</v>
      </c>
      <c r="D1035" t="s">
        <v>66</v>
      </c>
      <c r="E1035" t="s">
        <v>67</v>
      </c>
      <c r="F1035" s="14">
        <v>6441254</v>
      </c>
      <c r="G1035" s="14">
        <v>4294169</v>
      </c>
      <c r="H1035">
        <f t="shared" si="32"/>
        <v>0</v>
      </c>
      <c r="I1035" s="20">
        <f t="shared" si="33"/>
        <v>44652</v>
      </c>
    </row>
    <row r="1036" spans="1:9" x14ac:dyDescent="0.2">
      <c r="A1036">
        <v>2022</v>
      </c>
      <c r="B1036">
        <v>4</v>
      </c>
      <c r="C1036" t="s">
        <v>55</v>
      </c>
      <c r="D1036" t="s">
        <v>66</v>
      </c>
      <c r="E1036" t="s">
        <v>68</v>
      </c>
      <c r="F1036" s="14">
        <v>2237127</v>
      </c>
      <c r="G1036" s="14">
        <v>2237127</v>
      </c>
      <c r="H1036">
        <f t="shared" si="32"/>
        <v>0</v>
      </c>
      <c r="I1036" s="20">
        <f t="shared" si="33"/>
        <v>44652</v>
      </c>
    </row>
    <row r="1037" spans="1:9" x14ac:dyDescent="0.2">
      <c r="A1037">
        <v>2022</v>
      </c>
      <c r="B1037">
        <v>4</v>
      </c>
      <c r="C1037" t="s">
        <v>55</v>
      </c>
      <c r="D1037" t="s">
        <v>66</v>
      </c>
      <c r="E1037" t="s">
        <v>75</v>
      </c>
      <c r="F1037" s="14">
        <v>396950</v>
      </c>
      <c r="G1037" s="14">
        <v>283536</v>
      </c>
      <c r="H1037">
        <f t="shared" si="32"/>
        <v>0</v>
      </c>
      <c r="I1037" s="20">
        <f t="shared" si="33"/>
        <v>44652</v>
      </c>
    </row>
    <row r="1038" spans="1:9" x14ac:dyDescent="0.2">
      <c r="A1038">
        <v>2022</v>
      </c>
      <c r="B1038">
        <v>4</v>
      </c>
      <c r="C1038" t="s">
        <v>55</v>
      </c>
      <c r="D1038" t="s">
        <v>66</v>
      </c>
      <c r="E1038" t="s">
        <v>69</v>
      </c>
      <c r="F1038" s="14">
        <v>393901</v>
      </c>
      <c r="G1038" s="14">
        <v>246187</v>
      </c>
      <c r="H1038">
        <f t="shared" si="32"/>
        <v>0</v>
      </c>
      <c r="I1038" s="20">
        <f t="shared" si="33"/>
        <v>44652</v>
      </c>
    </row>
    <row r="1039" spans="1:9" x14ac:dyDescent="0.2">
      <c r="A1039">
        <v>2022</v>
      </c>
      <c r="B1039">
        <v>4</v>
      </c>
      <c r="C1039" t="s">
        <v>55</v>
      </c>
      <c r="D1039" t="s">
        <v>66</v>
      </c>
      <c r="E1039" t="s">
        <v>74</v>
      </c>
      <c r="F1039" s="14">
        <v>372328</v>
      </c>
      <c r="G1039" s="14">
        <v>338480</v>
      </c>
      <c r="H1039">
        <f t="shared" si="32"/>
        <v>0</v>
      </c>
      <c r="I1039" s="20">
        <f t="shared" si="33"/>
        <v>44652</v>
      </c>
    </row>
    <row r="1040" spans="1:9" x14ac:dyDescent="0.2">
      <c r="A1040">
        <v>2022</v>
      </c>
      <c r="B1040">
        <v>4</v>
      </c>
      <c r="C1040" t="s">
        <v>55</v>
      </c>
      <c r="D1040" t="s">
        <v>66</v>
      </c>
      <c r="E1040" t="s">
        <v>59</v>
      </c>
      <c r="F1040" s="14">
        <v>105556</v>
      </c>
      <c r="G1040" s="14">
        <v>105556</v>
      </c>
      <c r="H1040">
        <f t="shared" si="32"/>
        <v>0</v>
      </c>
      <c r="I1040" s="20">
        <f t="shared" si="33"/>
        <v>44652</v>
      </c>
    </row>
    <row r="1041" spans="1:9" x14ac:dyDescent="0.2">
      <c r="A1041">
        <v>2022</v>
      </c>
      <c r="B1041">
        <v>4</v>
      </c>
      <c r="C1041" t="s">
        <v>55</v>
      </c>
      <c r="D1041" t="s">
        <v>70</v>
      </c>
      <c r="E1041" t="s">
        <v>68</v>
      </c>
      <c r="F1041" s="14">
        <v>1126654731</v>
      </c>
      <c r="G1041" s="14">
        <v>1126654731</v>
      </c>
      <c r="H1041">
        <f t="shared" si="32"/>
        <v>0</v>
      </c>
      <c r="I1041" s="20">
        <f t="shared" si="33"/>
        <v>44652</v>
      </c>
    </row>
    <row r="1042" spans="1:9" x14ac:dyDescent="0.2">
      <c r="A1042">
        <v>2022</v>
      </c>
      <c r="B1042">
        <v>4</v>
      </c>
      <c r="C1042" t="s">
        <v>62</v>
      </c>
      <c r="D1042" t="s">
        <v>70</v>
      </c>
      <c r="E1042" t="s">
        <v>63</v>
      </c>
      <c r="F1042" s="14">
        <v>8832621</v>
      </c>
      <c r="G1042" s="14">
        <v>5195659</v>
      </c>
      <c r="H1042">
        <f t="shared" si="32"/>
        <v>0</v>
      </c>
      <c r="I1042" s="20">
        <f t="shared" si="33"/>
        <v>44652</v>
      </c>
    </row>
    <row r="1043" spans="1:9" x14ac:dyDescent="0.2">
      <c r="A1043">
        <v>2022</v>
      </c>
      <c r="B1043">
        <v>4</v>
      </c>
      <c r="C1043" t="s">
        <v>64</v>
      </c>
      <c r="D1043" t="s">
        <v>70</v>
      </c>
      <c r="E1043" t="s">
        <v>68</v>
      </c>
      <c r="F1043" s="14">
        <v>1034253</v>
      </c>
      <c r="G1043" s="14">
        <v>1034253</v>
      </c>
      <c r="H1043">
        <f t="shared" si="32"/>
        <v>0</v>
      </c>
      <c r="I1043" s="20">
        <f t="shared" si="33"/>
        <v>44652</v>
      </c>
    </row>
    <row r="1044" spans="1:9" x14ac:dyDescent="0.2">
      <c r="A1044">
        <v>2022</v>
      </c>
      <c r="B1044">
        <v>5</v>
      </c>
      <c r="C1044" t="s">
        <v>55</v>
      </c>
      <c r="D1044" t="s">
        <v>56</v>
      </c>
      <c r="E1044" t="s">
        <v>59</v>
      </c>
      <c r="F1044" s="14">
        <v>46346211</v>
      </c>
      <c r="G1044" s="14">
        <v>46346211</v>
      </c>
      <c r="H1044">
        <f t="shared" si="32"/>
        <v>0</v>
      </c>
      <c r="I1044" s="20">
        <f t="shared" si="33"/>
        <v>44682</v>
      </c>
    </row>
    <row r="1045" spans="1:9" x14ac:dyDescent="0.2">
      <c r="A1045">
        <v>2022</v>
      </c>
      <c r="B1045">
        <v>5</v>
      </c>
      <c r="C1045" t="s">
        <v>55</v>
      </c>
      <c r="D1045" t="s">
        <v>56</v>
      </c>
      <c r="E1045" t="s">
        <v>58</v>
      </c>
      <c r="F1045" s="14">
        <v>7709416</v>
      </c>
      <c r="G1045" s="14">
        <v>7709416</v>
      </c>
      <c r="H1045">
        <f t="shared" si="32"/>
        <v>0</v>
      </c>
      <c r="I1045" s="20">
        <f t="shared" si="33"/>
        <v>44682</v>
      </c>
    </row>
    <row r="1046" spans="1:9" x14ac:dyDescent="0.2">
      <c r="A1046">
        <v>2022</v>
      </c>
      <c r="B1046">
        <v>5</v>
      </c>
      <c r="C1046" t="s">
        <v>64</v>
      </c>
      <c r="D1046" t="s">
        <v>56</v>
      </c>
      <c r="E1046" t="s">
        <v>59</v>
      </c>
      <c r="F1046" s="14">
        <v>2847030</v>
      </c>
      <c r="G1046" s="14">
        <v>2847030</v>
      </c>
      <c r="H1046">
        <f t="shared" si="32"/>
        <v>0</v>
      </c>
      <c r="I1046" s="20">
        <f t="shared" si="33"/>
        <v>44682</v>
      </c>
    </row>
    <row r="1047" spans="1:9" x14ac:dyDescent="0.2">
      <c r="A1047">
        <v>2022</v>
      </c>
      <c r="B1047">
        <v>5</v>
      </c>
      <c r="C1047" t="s">
        <v>55</v>
      </c>
      <c r="D1047" t="s">
        <v>56</v>
      </c>
      <c r="E1047" t="s">
        <v>57</v>
      </c>
      <c r="F1047" s="14">
        <v>258819</v>
      </c>
      <c r="G1047" s="14">
        <v>258819</v>
      </c>
      <c r="H1047">
        <f t="shared" si="32"/>
        <v>0</v>
      </c>
      <c r="I1047" s="20">
        <f t="shared" si="33"/>
        <v>44682</v>
      </c>
    </row>
    <row r="1048" spans="1:9" x14ac:dyDescent="0.2">
      <c r="A1048">
        <v>2022</v>
      </c>
      <c r="B1048">
        <v>5</v>
      </c>
      <c r="C1048" t="s">
        <v>64</v>
      </c>
      <c r="D1048" t="s">
        <v>56</v>
      </c>
      <c r="E1048" t="s">
        <v>58</v>
      </c>
      <c r="F1048" s="14">
        <v>161649</v>
      </c>
      <c r="G1048" s="14">
        <v>161649</v>
      </c>
      <c r="H1048">
        <f t="shared" si="32"/>
        <v>0</v>
      </c>
      <c r="I1048" s="20">
        <f t="shared" si="33"/>
        <v>44682</v>
      </c>
    </row>
    <row r="1049" spans="1:9" x14ac:dyDescent="0.2">
      <c r="A1049">
        <v>2022</v>
      </c>
      <c r="B1049">
        <v>5</v>
      </c>
      <c r="C1049" t="s">
        <v>55</v>
      </c>
      <c r="D1049" t="s">
        <v>60</v>
      </c>
      <c r="E1049" t="s">
        <v>63</v>
      </c>
      <c r="F1049" s="14">
        <v>216567060</v>
      </c>
      <c r="G1049" s="14">
        <v>127392352</v>
      </c>
      <c r="H1049">
        <f t="shared" si="32"/>
        <v>0</v>
      </c>
      <c r="I1049" s="20">
        <f t="shared" si="33"/>
        <v>44682</v>
      </c>
    </row>
    <row r="1050" spans="1:9" x14ac:dyDescent="0.2">
      <c r="A1050">
        <v>2022</v>
      </c>
      <c r="B1050">
        <v>5</v>
      </c>
      <c r="C1050" t="s">
        <v>55</v>
      </c>
      <c r="D1050" t="s">
        <v>60</v>
      </c>
      <c r="E1050" t="s">
        <v>61</v>
      </c>
      <c r="F1050" s="14">
        <v>209815286</v>
      </c>
      <c r="G1050" s="14">
        <v>139875243</v>
      </c>
      <c r="H1050">
        <f t="shared" si="32"/>
        <v>0</v>
      </c>
      <c r="I1050" s="20">
        <f t="shared" si="33"/>
        <v>44682</v>
      </c>
    </row>
    <row r="1051" spans="1:9" x14ac:dyDescent="0.2">
      <c r="A1051">
        <v>2022</v>
      </c>
      <c r="B1051">
        <v>5</v>
      </c>
      <c r="C1051" t="s">
        <v>62</v>
      </c>
      <c r="D1051" t="s">
        <v>60</v>
      </c>
      <c r="E1051" t="s">
        <v>63</v>
      </c>
      <c r="F1051" s="14">
        <v>65668544</v>
      </c>
      <c r="G1051" s="14">
        <v>38628556</v>
      </c>
      <c r="H1051">
        <f t="shared" si="32"/>
        <v>0</v>
      </c>
      <c r="I1051" s="20">
        <f t="shared" si="33"/>
        <v>44682</v>
      </c>
    </row>
    <row r="1052" spans="1:9" x14ac:dyDescent="0.2">
      <c r="A1052">
        <v>2022</v>
      </c>
      <c r="B1052">
        <v>5</v>
      </c>
      <c r="C1052" t="s">
        <v>64</v>
      </c>
      <c r="D1052" t="s">
        <v>60</v>
      </c>
      <c r="E1052" t="s">
        <v>61</v>
      </c>
      <c r="F1052" s="14">
        <v>17778281</v>
      </c>
      <c r="G1052" s="14">
        <v>11852179</v>
      </c>
      <c r="H1052">
        <f t="shared" si="32"/>
        <v>0</v>
      </c>
      <c r="I1052" s="20">
        <f t="shared" si="33"/>
        <v>44682</v>
      </c>
    </row>
    <row r="1053" spans="1:9" x14ac:dyDescent="0.2">
      <c r="A1053">
        <v>2022</v>
      </c>
      <c r="B1053">
        <v>5</v>
      </c>
      <c r="C1053" t="s">
        <v>62</v>
      </c>
      <c r="D1053" t="s">
        <v>60</v>
      </c>
      <c r="E1053" t="s">
        <v>76</v>
      </c>
      <c r="F1053" s="14">
        <v>3628643</v>
      </c>
      <c r="G1053" s="14">
        <v>2267902</v>
      </c>
      <c r="H1053">
        <f t="shared" si="32"/>
        <v>0</v>
      </c>
      <c r="I1053" s="20">
        <f t="shared" si="33"/>
        <v>44682</v>
      </c>
    </row>
    <row r="1054" spans="1:9" x14ac:dyDescent="0.2">
      <c r="A1054">
        <v>2022</v>
      </c>
      <c r="B1054">
        <v>5</v>
      </c>
      <c r="C1054" t="s">
        <v>55</v>
      </c>
      <c r="D1054" t="s">
        <v>60</v>
      </c>
      <c r="E1054" t="s">
        <v>65</v>
      </c>
      <c r="F1054" s="14">
        <v>324530</v>
      </c>
      <c r="G1054" s="14">
        <v>202831</v>
      </c>
      <c r="H1054">
        <f t="shared" si="32"/>
        <v>1</v>
      </c>
      <c r="I1054" s="20">
        <f t="shared" si="33"/>
        <v>44682</v>
      </c>
    </row>
    <row r="1055" spans="1:9" x14ac:dyDescent="0.2">
      <c r="A1055">
        <v>2022</v>
      </c>
      <c r="B1055">
        <v>5</v>
      </c>
      <c r="C1055" t="s">
        <v>55</v>
      </c>
      <c r="D1055" t="s">
        <v>66</v>
      </c>
      <c r="E1055" t="s">
        <v>63</v>
      </c>
      <c r="F1055" s="14">
        <v>14761731</v>
      </c>
      <c r="G1055" s="14">
        <v>8683370</v>
      </c>
      <c r="H1055">
        <f t="shared" si="32"/>
        <v>0</v>
      </c>
      <c r="I1055" s="20">
        <f t="shared" si="33"/>
        <v>44682</v>
      </c>
    </row>
    <row r="1056" spans="1:9" x14ac:dyDescent="0.2">
      <c r="A1056">
        <v>2022</v>
      </c>
      <c r="B1056">
        <v>5</v>
      </c>
      <c r="C1056" t="s">
        <v>64</v>
      </c>
      <c r="D1056" t="s">
        <v>66</v>
      </c>
      <c r="E1056" t="s">
        <v>68</v>
      </c>
      <c r="F1056" s="14">
        <v>10688242</v>
      </c>
      <c r="G1056" s="14">
        <v>10688242</v>
      </c>
      <c r="H1056">
        <f t="shared" si="32"/>
        <v>0</v>
      </c>
      <c r="I1056" s="20">
        <f t="shared" si="33"/>
        <v>44682</v>
      </c>
    </row>
    <row r="1057" spans="1:9" x14ac:dyDescent="0.2">
      <c r="A1057">
        <v>2022</v>
      </c>
      <c r="B1057">
        <v>5</v>
      </c>
      <c r="C1057" t="s">
        <v>55</v>
      </c>
      <c r="D1057" t="s">
        <v>66</v>
      </c>
      <c r="E1057" t="s">
        <v>67</v>
      </c>
      <c r="F1057" s="14">
        <v>5516042</v>
      </c>
      <c r="G1057" s="14">
        <v>3677360</v>
      </c>
      <c r="H1057">
        <f t="shared" si="32"/>
        <v>0</v>
      </c>
      <c r="I1057" s="20">
        <f t="shared" si="33"/>
        <v>44682</v>
      </c>
    </row>
    <row r="1058" spans="1:9" x14ac:dyDescent="0.2">
      <c r="A1058">
        <v>2022</v>
      </c>
      <c r="B1058">
        <v>5</v>
      </c>
      <c r="C1058" t="s">
        <v>55</v>
      </c>
      <c r="D1058" t="s">
        <v>66</v>
      </c>
      <c r="E1058" t="s">
        <v>68</v>
      </c>
      <c r="F1058" s="14">
        <v>2788151</v>
      </c>
      <c r="G1058" s="14">
        <v>2788151</v>
      </c>
      <c r="H1058">
        <f t="shared" si="32"/>
        <v>0</v>
      </c>
      <c r="I1058" s="20">
        <f t="shared" si="33"/>
        <v>44682</v>
      </c>
    </row>
    <row r="1059" spans="1:9" x14ac:dyDescent="0.2">
      <c r="A1059">
        <v>2022</v>
      </c>
      <c r="B1059">
        <v>5</v>
      </c>
      <c r="C1059" t="s">
        <v>55</v>
      </c>
      <c r="D1059" t="s">
        <v>66</v>
      </c>
      <c r="E1059" t="s">
        <v>69</v>
      </c>
      <c r="F1059" s="14">
        <v>293324</v>
      </c>
      <c r="G1059" s="14">
        <v>183328</v>
      </c>
      <c r="H1059">
        <f t="shared" si="32"/>
        <v>0</v>
      </c>
      <c r="I1059" s="20">
        <f t="shared" si="33"/>
        <v>44682</v>
      </c>
    </row>
    <row r="1060" spans="1:9" x14ac:dyDescent="0.2">
      <c r="A1060">
        <v>2022</v>
      </c>
      <c r="B1060">
        <v>5</v>
      </c>
      <c r="C1060" t="s">
        <v>55</v>
      </c>
      <c r="D1060" t="s">
        <v>66</v>
      </c>
      <c r="E1060" t="s">
        <v>75</v>
      </c>
      <c r="F1060" s="14">
        <v>86460</v>
      </c>
      <c r="G1060" s="14">
        <v>61757</v>
      </c>
      <c r="H1060">
        <f t="shared" si="32"/>
        <v>0</v>
      </c>
      <c r="I1060" s="20">
        <f t="shared" si="33"/>
        <v>44682</v>
      </c>
    </row>
    <row r="1061" spans="1:9" x14ac:dyDescent="0.2">
      <c r="A1061">
        <v>2022</v>
      </c>
      <c r="B1061">
        <v>5</v>
      </c>
      <c r="C1061" t="s">
        <v>55</v>
      </c>
      <c r="D1061" t="s">
        <v>66</v>
      </c>
      <c r="E1061" t="s">
        <v>59</v>
      </c>
      <c r="F1061" s="14">
        <v>73892</v>
      </c>
      <c r="G1061" s="14">
        <v>73892</v>
      </c>
      <c r="H1061">
        <f t="shared" si="32"/>
        <v>0</v>
      </c>
      <c r="I1061" s="20">
        <f t="shared" si="33"/>
        <v>44682</v>
      </c>
    </row>
    <row r="1062" spans="1:9" x14ac:dyDescent="0.2">
      <c r="A1062">
        <v>2022</v>
      </c>
      <c r="B1062">
        <v>5</v>
      </c>
      <c r="C1062" t="s">
        <v>55</v>
      </c>
      <c r="D1062" t="s">
        <v>66</v>
      </c>
      <c r="E1062" t="s">
        <v>74</v>
      </c>
      <c r="F1062" s="14">
        <v>71055</v>
      </c>
      <c r="G1062" s="14">
        <v>64595</v>
      </c>
      <c r="H1062">
        <f t="shared" si="32"/>
        <v>0</v>
      </c>
      <c r="I1062" s="20">
        <f t="shared" si="33"/>
        <v>44682</v>
      </c>
    </row>
    <row r="1063" spans="1:9" x14ac:dyDescent="0.2">
      <c r="A1063">
        <v>2022</v>
      </c>
      <c r="B1063">
        <v>5</v>
      </c>
      <c r="C1063" t="s">
        <v>55</v>
      </c>
      <c r="D1063" t="s">
        <v>70</v>
      </c>
      <c r="E1063" t="s">
        <v>68</v>
      </c>
      <c r="F1063" s="14">
        <v>1221667543</v>
      </c>
      <c r="G1063" s="14">
        <v>1221667543</v>
      </c>
      <c r="H1063">
        <f t="shared" si="32"/>
        <v>0</v>
      </c>
      <c r="I1063" s="20">
        <f t="shared" si="33"/>
        <v>44682</v>
      </c>
    </row>
    <row r="1064" spans="1:9" x14ac:dyDescent="0.2">
      <c r="A1064">
        <v>2022</v>
      </c>
      <c r="B1064">
        <v>5</v>
      </c>
      <c r="C1064" t="s">
        <v>62</v>
      </c>
      <c r="D1064" t="s">
        <v>70</v>
      </c>
      <c r="E1064" t="s">
        <v>63</v>
      </c>
      <c r="F1064" s="14">
        <v>10722178</v>
      </c>
      <c r="G1064" s="14">
        <v>6307163</v>
      </c>
      <c r="H1064">
        <f t="shared" si="32"/>
        <v>0</v>
      </c>
      <c r="I1064" s="20">
        <f t="shared" si="33"/>
        <v>44682</v>
      </c>
    </row>
    <row r="1065" spans="1:9" x14ac:dyDescent="0.2">
      <c r="A1065">
        <v>2022</v>
      </c>
      <c r="B1065">
        <v>5</v>
      </c>
      <c r="C1065" t="s">
        <v>64</v>
      </c>
      <c r="D1065" t="s">
        <v>70</v>
      </c>
      <c r="E1065" t="s">
        <v>68</v>
      </c>
      <c r="F1065" s="14">
        <v>1213156</v>
      </c>
      <c r="G1065" s="14">
        <v>1213156</v>
      </c>
      <c r="H1065">
        <f t="shared" si="32"/>
        <v>0</v>
      </c>
      <c r="I1065" s="20">
        <f t="shared" si="33"/>
        <v>44682</v>
      </c>
    </row>
    <row r="1066" spans="1:9" x14ac:dyDescent="0.2">
      <c r="A1066">
        <v>2022</v>
      </c>
      <c r="B1066">
        <v>6</v>
      </c>
      <c r="C1066" t="s">
        <v>55</v>
      </c>
      <c r="D1066" t="s">
        <v>56</v>
      </c>
      <c r="E1066" t="s">
        <v>59</v>
      </c>
      <c r="F1066" s="14">
        <v>44287180</v>
      </c>
      <c r="G1066" s="14">
        <v>44287180</v>
      </c>
      <c r="H1066">
        <f t="shared" si="32"/>
        <v>0</v>
      </c>
      <c r="I1066" s="20">
        <f t="shared" si="33"/>
        <v>44713</v>
      </c>
    </row>
    <row r="1067" spans="1:9" x14ac:dyDescent="0.2">
      <c r="A1067">
        <v>2022</v>
      </c>
      <c r="B1067">
        <v>6</v>
      </c>
      <c r="C1067" t="s">
        <v>55</v>
      </c>
      <c r="D1067" t="s">
        <v>56</v>
      </c>
      <c r="E1067" t="s">
        <v>58</v>
      </c>
      <c r="F1067" s="14">
        <v>6764621</v>
      </c>
      <c r="G1067" s="14">
        <v>6764621</v>
      </c>
      <c r="H1067">
        <f t="shared" si="32"/>
        <v>0</v>
      </c>
      <c r="I1067" s="20">
        <f t="shared" si="33"/>
        <v>44713</v>
      </c>
    </row>
    <row r="1068" spans="1:9" x14ac:dyDescent="0.2">
      <c r="A1068">
        <v>2022</v>
      </c>
      <c r="B1068">
        <v>6</v>
      </c>
      <c r="C1068" t="s">
        <v>64</v>
      </c>
      <c r="D1068" t="s">
        <v>56</v>
      </c>
      <c r="E1068" t="s">
        <v>59</v>
      </c>
      <c r="F1068" s="14">
        <v>3009512</v>
      </c>
      <c r="G1068" s="14">
        <v>3009512</v>
      </c>
      <c r="H1068">
        <f t="shared" si="32"/>
        <v>0</v>
      </c>
      <c r="I1068" s="20">
        <f t="shared" si="33"/>
        <v>44713</v>
      </c>
    </row>
    <row r="1069" spans="1:9" x14ac:dyDescent="0.2">
      <c r="A1069">
        <v>2022</v>
      </c>
      <c r="B1069">
        <v>6</v>
      </c>
      <c r="C1069" t="s">
        <v>55</v>
      </c>
      <c r="D1069" t="s">
        <v>56</v>
      </c>
      <c r="E1069" t="s">
        <v>57</v>
      </c>
      <c r="F1069" s="14">
        <v>142896</v>
      </c>
      <c r="G1069" s="14">
        <v>142896</v>
      </c>
      <c r="H1069">
        <f t="shared" si="32"/>
        <v>0</v>
      </c>
      <c r="I1069" s="20">
        <f t="shared" si="33"/>
        <v>44713</v>
      </c>
    </row>
    <row r="1070" spans="1:9" x14ac:dyDescent="0.2">
      <c r="A1070">
        <v>2022</v>
      </c>
      <c r="B1070">
        <v>6</v>
      </c>
      <c r="C1070" t="s">
        <v>64</v>
      </c>
      <c r="D1070" t="s">
        <v>56</v>
      </c>
      <c r="E1070" t="s">
        <v>58</v>
      </c>
      <c r="F1070" s="14">
        <v>124356</v>
      </c>
      <c r="G1070" s="14">
        <v>124356</v>
      </c>
      <c r="H1070">
        <f t="shared" si="32"/>
        <v>0</v>
      </c>
      <c r="I1070" s="20">
        <f t="shared" si="33"/>
        <v>44713</v>
      </c>
    </row>
    <row r="1071" spans="1:9" x14ac:dyDescent="0.2">
      <c r="A1071">
        <v>2022</v>
      </c>
      <c r="B1071">
        <v>6</v>
      </c>
      <c r="C1071" t="s">
        <v>55</v>
      </c>
      <c r="D1071" t="s">
        <v>60</v>
      </c>
      <c r="E1071" t="s">
        <v>61</v>
      </c>
      <c r="F1071" s="14">
        <v>214285517</v>
      </c>
      <c r="G1071" s="14">
        <v>142855221</v>
      </c>
      <c r="H1071">
        <f t="shared" si="32"/>
        <v>0</v>
      </c>
      <c r="I1071" s="20">
        <f t="shared" si="33"/>
        <v>44713</v>
      </c>
    </row>
    <row r="1072" spans="1:9" x14ac:dyDescent="0.2">
      <c r="A1072">
        <v>2022</v>
      </c>
      <c r="B1072">
        <v>6</v>
      </c>
      <c r="C1072" t="s">
        <v>55</v>
      </c>
      <c r="D1072" t="s">
        <v>60</v>
      </c>
      <c r="E1072" t="s">
        <v>63</v>
      </c>
      <c r="F1072" s="14">
        <v>189113744</v>
      </c>
      <c r="G1072" s="14">
        <v>111243334</v>
      </c>
      <c r="H1072">
        <f t="shared" si="32"/>
        <v>0</v>
      </c>
      <c r="I1072" s="20">
        <f t="shared" si="33"/>
        <v>44713</v>
      </c>
    </row>
    <row r="1073" spans="1:9" x14ac:dyDescent="0.2">
      <c r="A1073">
        <v>2022</v>
      </c>
      <c r="B1073">
        <v>6</v>
      </c>
      <c r="C1073" t="s">
        <v>62</v>
      </c>
      <c r="D1073" t="s">
        <v>60</v>
      </c>
      <c r="E1073" t="s">
        <v>63</v>
      </c>
      <c r="F1073" s="14">
        <v>53444731</v>
      </c>
      <c r="G1073" s="14">
        <v>31438077</v>
      </c>
      <c r="H1073">
        <f t="shared" si="32"/>
        <v>0</v>
      </c>
      <c r="I1073" s="20">
        <f t="shared" si="33"/>
        <v>44713</v>
      </c>
    </row>
    <row r="1074" spans="1:9" x14ac:dyDescent="0.2">
      <c r="A1074">
        <v>2022</v>
      </c>
      <c r="B1074">
        <v>6</v>
      </c>
      <c r="C1074" t="s">
        <v>64</v>
      </c>
      <c r="D1074" t="s">
        <v>60</v>
      </c>
      <c r="E1074" t="s">
        <v>61</v>
      </c>
      <c r="F1074" s="14">
        <v>28972266</v>
      </c>
      <c r="G1074" s="14">
        <v>19314836</v>
      </c>
      <c r="H1074">
        <f t="shared" si="32"/>
        <v>0</v>
      </c>
      <c r="I1074" s="20">
        <f t="shared" si="33"/>
        <v>44713</v>
      </c>
    </row>
    <row r="1075" spans="1:9" x14ac:dyDescent="0.2">
      <c r="A1075">
        <v>2022</v>
      </c>
      <c r="B1075">
        <v>6</v>
      </c>
      <c r="C1075" t="s">
        <v>62</v>
      </c>
      <c r="D1075" t="s">
        <v>60</v>
      </c>
      <c r="E1075" t="s">
        <v>65</v>
      </c>
      <c r="F1075" s="14">
        <v>2447176</v>
      </c>
      <c r="G1075" s="14">
        <v>1529485</v>
      </c>
      <c r="H1075">
        <f t="shared" si="32"/>
        <v>1</v>
      </c>
      <c r="I1075" s="20">
        <f t="shared" si="33"/>
        <v>44713</v>
      </c>
    </row>
    <row r="1076" spans="1:9" x14ac:dyDescent="0.2">
      <c r="A1076">
        <v>2022</v>
      </c>
      <c r="B1076">
        <v>6</v>
      </c>
      <c r="C1076" t="s">
        <v>55</v>
      </c>
      <c r="D1076" t="s">
        <v>60</v>
      </c>
      <c r="E1076" t="s">
        <v>65</v>
      </c>
      <c r="F1076" s="14">
        <v>1283622</v>
      </c>
      <c r="G1076" s="14">
        <v>802264</v>
      </c>
      <c r="H1076">
        <f t="shared" si="32"/>
        <v>1</v>
      </c>
      <c r="I1076" s="20">
        <f t="shared" si="33"/>
        <v>44713</v>
      </c>
    </row>
    <row r="1077" spans="1:9" x14ac:dyDescent="0.2">
      <c r="A1077">
        <v>2022</v>
      </c>
      <c r="B1077">
        <v>6</v>
      </c>
      <c r="C1077" t="s">
        <v>62</v>
      </c>
      <c r="D1077" t="s">
        <v>60</v>
      </c>
      <c r="E1077" t="s">
        <v>76</v>
      </c>
      <c r="F1077" s="14">
        <v>1087288</v>
      </c>
      <c r="G1077" s="14">
        <v>679555</v>
      </c>
      <c r="H1077">
        <f t="shared" si="32"/>
        <v>0</v>
      </c>
      <c r="I1077" s="20">
        <f t="shared" si="33"/>
        <v>44713</v>
      </c>
    </row>
    <row r="1078" spans="1:9" x14ac:dyDescent="0.2">
      <c r="A1078">
        <v>2022</v>
      </c>
      <c r="B1078">
        <v>6</v>
      </c>
      <c r="C1078" t="s">
        <v>55</v>
      </c>
      <c r="D1078" t="s">
        <v>60</v>
      </c>
      <c r="E1078" t="s">
        <v>76</v>
      </c>
      <c r="F1078" s="14">
        <v>691690</v>
      </c>
      <c r="G1078" s="14">
        <v>432306</v>
      </c>
      <c r="H1078">
        <f t="shared" si="32"/>
        <v>0</v>
      </c>
      <c r="I1078" s="20">
        <f t="shared" si="33"/>
        <v>44713</v>
      </c>
    </row>
    <row r="1079" spans="1:9" x14ac:dyDescent="0.2">
      <c r="A1079">
        <v>2022</v>
      </c>
      <c r="B1079">
        <v>6</v>
      </c>
      <c r="C1079" t="s">
        <v>55</v>
      </c>
      <c r="D1079" t="s">
        <v>66</v>
      </c>
      <c r="E1079" t="s">
        <v>63</v>
      </c>
      <c r="F1079" s="14">
        <v>7781980</v>
      </c>
      <c r="G1079" s="14">
        <v>4577635</v>
      </c>
      <c r="H1079">
        <f t="shared" si="32"/>
        <v>0</v>
      </c>
      <c r="I1079" s="20">
        <f t="shared" si="33"/>
        <v>44713</v>
      </c>
    </row>
    <row r="1080" spans="1:9" x14ac:dyDescent="0.2">
      <c r="A1080">
        <v>2022</v>
      </c>
      <c r="B1080">
        <v>6</v>
      </c>
      <c r="C1080" t="s">
        <v>55</v>
      </c>
      <c r="D1080" t="s">
        <v>66</v>
      </c>
      <c r="E1080" t="s">
        <v>67</v>
      </c>
      <c r="F1080" s="14">
        <v>6390618</v>
      </c>
      <c r="G1080" s="14">
        <v>4260408</v>
      </c>
      <c r="H1080">
        <f t="shared" si="32"/>
        <v>0</v>
      </c>
      <c r="I1080" s="20">
        <f t="shared" si="33"/>
        <v>44713</v>
      </c>
    </row>
    <row r="1081" spans="1:9" x14ac:dyDescent="0.2">
      <c r="A1081">
        <v>2022</v>
      </c>
      <c r="B1081">
        <v>6</v>
      </c>
      <c r="C1081" t="s">
        <v>55</v>
      </c>
      <c r="D1081" t="s">
        <v>66</v>
      </c>
      <c r="E1081" t="s">
        <v>68</v>
      </c>
      <c r="F1081" s="14">
        <v>2536364</v>
      </c>
      <c r="G1081" s="14">
        <v>2536364</v>
      </c>
      <c r="H1081">
        <f t="shared" si="32"/>
        <v>0</v>
      </c>
      <c r="I1081" s="20">
        <f t="shared" si="33"/>
        <v>44713</v>
      </c>
    </row>
    <row r="1082" spans="1:9" x14ac:dyDescent="0.2">
      <c r="A1082">
        <v>2022</v>
      </c>
      <c r="B1082">
        <v>6</v>
      </c>
      <c r="C1082" t="s">
        <v>55</v>
      </c>
      <c r="D1082" t="s">
        <v>66</v>
      </c>
      <c r="E1082" t="s">
        <v>74</v>
      </c>
      <c r="F1082" s="14">
        <v>498104</v>
      </c>
      <c r="G1082" s="14">
        <v>452822</v>
      </c>
      <c r="H1082">
        <f t="shared" si="32"/>
        <v>0</v>
      </c>
      <c r="I1082" s="20">
        <f t="shared" si="33"/>
        <v>44713</v>
      </c>
    </row>
    <row r="1083" spans="1:9" x14ac:dyDescent="0.2">
      <c r="A1083">
        <v>2022</v>
      </c>
      <c r="B1083">
        <v>6</v>
      </c>
      <c r="C1083" t="s">
        <v>55</v>
      </c>
      <c r="D1083" t="s">
        <v>66</v>
      </c>
      <c r="E1083" t="s">
        <v>75</v>
      </c>
      <c r="F1083" s="14">
        <v>186967</v>
      </c>
      <c r="G1083" s="14">
        <v>133548</v>
      </c>
      <c r="H1083">
        <f t="shared" si="32"/>
        <v>0</v>
      </c>
      <c r="I1083" s="20">
        <f t="shared" si="33"/>
        <v>44713</v>
      </c>
    </row>
    <row r="1084" spans="1:9" x14ac:dyDescent="0.2">
      <c r="A1084">
        <v>2022</v>
      </c>
      <c r="B1084">
        <v>6</v>
      </c>
      <c r="C1084" t="s">
        <v>55</v>
      </c>
      <c r="D1084" t="s">
        <v>66</v>
      </c>
      <c r="E1084" t="s">
        <v>69</v>
      </c>
      <c r="F1084" s="14">
        <v>144753</v>
      </c>
      <c r="G1084" s="14">
        <v>90471</v>
      </c>
      <c r="H1084">
        <f t="shared" si="32"/>
        <v>0</v>
      </c>
      <c r="I1084" s="20">
        <f t="shared" si="33"/>
        <v>44713</v>
      </c>
    </row>
    <row r="1085" spans="1:9" x14ac:dyDescent="0.2">
      <c r="A1085">
        <v>2022</v>
      </c>
      <c r="B1085">
        <v>6</v>
      </c>
      <c r="C1085" t="s">
        <v>55</v>
      </c>
      <c r="D1085" t="s">
        <v>66</v>
      </c>
      <c r="E1085" t="s">
        <v>59</v>
      </c>
      <c r="F1085" s="14">
        <v>71031</v>
      </c>
      <c r="G1085" s="14">
        <v>71031</v>
      </c>
      <c r="H1085">
        <f t="shared" si="32"/>
        <v>0</v>
      </c>
      <c r="I1085" s="20">
        <f t="shared" si="33"/>
        <v>44713</v>
      </c>
    </row>
    <row r="1086" spans="1:9" x14ac:dyDescent="0.2">
      <c r="A1086">
        <v>2022</v>
      </c>
      <c r="B1086">
        <v>6</v>
      </c>
      <c r="C1086" t="s">
        <v>55</v>
      </c>
      <c r="D1086" t="s">
        <v>70</v>
      </c>
      <c r="E1086" t="s">
        <v>68</v>
      </c>
      <c r="F1086" s="14">
        <v>1285301069</v>
      </c>
      <c r="G1086" s="14">
        <v>1285301069</v>
      </c>
      <c r="H1086">
        <f t="shared" si="32"/>
        <v>0</v>
      </c>
      <c r="I1086" s="20">
        <f t="shared" si="33"/>
        <v>44713</v>
      </c>
    </row>
    <row r="1087" spans="1:9" x14ac:dyDescent="0.2">
      <c r="A1087">
        <v>2022</v>
      </c>
      <c r="B1087">
        <v>6</v>
      </c>
      <c r="C1087" t="s">
        <v>62</v>
      </c>
      <c r="D1087" t="s">
        <v>70</v>
      </c>
      <c r="E1087" t="s">
        <v>63</v>
      </c>
      <c r="F1087" s="14">
        <v>5466256</v>
      </c>
      <c r="G1087" s="14">
        <v>3215445</v>
      </c>
      <c r="H1087">
        <f t="shared" si="32"/>
        <v>0</v>
      </c>
      <c r="I1087" s="20">
        <f t="shared" si="33"/>
        <v>44713</v>
      </c>
    </row>
    <row r="1088" spans="1:9" x14ac:dyDescent="0.2">
      <c r="A1088">
        <v>2022</v>
      </c>
      <c r="B1088">
        <v>6</v>
      </c>
      <c r="C1088" t="s">
        <v>64</v>
      </c>
      <c r="D1088" t="s">
        <v>70</v>
      </c>
      <c r="E1088" t="s">
        <v>68</v>
      </c>
      <c r="F1088" s="14">
        <v>1186039</v>
      </c>
      <c r="G1088" s="14">
        <v>1186039</v>
      </c>
      <c r="H1088">
        <f t="shared" si="32"/>
        <v>0</v>
      </c>
      <c r="I1088" s="20">
        <f t="shared" si="33"/>
        <v>44713</v>
      </c>
    </row>
    <row r="1089" spans="1:9" x14ac:dyDescent="0.2">
      <c r="A1089">
        <v>2022</v>
      </c>
      <c r="B1089">
        <v>6</v>
      </c>
      <c r="C1089" t="s">
        <v>64</v>
      </c>
      <c r="D1089" t="s">
        <v>71</v>
      </c>
      <c r="E1089" t="s">
        <v>72</v>
      </c>
      <c r="F1089" s="14">
        <v>102065</v>
      </c>
      <c r="G1089" s="14">
        <v>102065</v>
      </c>
      <c r="H1089">
        <f t="shared" si="32"/>
        <v>0</v>
      </c>
      <c r="I1089" s="20">
        <f t="shared" si="33"/>
        <v>44713</v>
      </c>
    </row>
    <row r="1090" spans="1:9" x14ac:dyDescent="0.2">
      <c r="A1090">
        <v>2022</v>
      </c>
      <c r="B1090">
        <v>7</v>
      </c>
      <c r="C1090" t="s">
        <v>55</v>
      </c>
      <c r="D1090" t="s">
        <v>56</v>
      </c>
      <c r="E1090" t="s">
        <v>59</v>
      </c>
      <c r="F1090" s="14">
        <v>44093008</v>
      </c>
      <c r="G1090" s="14">
        <v>44093008</v>
      </c>
      <c r="H1090">
        <f t="shared" si="32"/>
        <v>0</v>
      </c>
      <c r="I1090" s="20">
        <f t="shared" si="33"/>
        <v>44743</v>
      </c>
    </row>
    <row r="1091" spans="1:9" x14ac:dyDescent="0.2">
      <c r="A1091">
        <v>2022</v>
      </c>
      <c r="B1091">
        <v>7</v>
      </c>
      <c r="C1091" t="s">
        <v>55</v>
      </c>
      <c r="D1091" t="s">
        <v>56</v>
      </c>
      <c r="E1091" t="s">
        <v>58</v>
      </c>
      <c r="F1091" s="14">
        <v>7939544</v>
      </c>
      <c r="G1091" s="14">
        <v>7939544</v>
      </c>
      <c r="H1091">
        <f t="shared" ref="H1091:H1154" si="34">--ISNUMBER(SEARCH("Jet Fuel",E1091))</f>
        <v>0</v>
      </c>
      <c r="I1091" s="20">
        <f t="shared" ref="I1091:I1154" si="35">DATE(A1091,B1091,1)</f>
        <v>44743</v>
      </c>
    </row>
    <row r="1092" spans="1:9" x14ac:dyDescent="0.2">
      <c r="A1092">
        <v>2022</v>
      </c>
      <c r="B1092">
        <v>7</v>
      </c>
      <c r="C1092" t="s">
        <v>64</v>
      </c>
      <c r="D1092" t="s">
        <v>56</v>
      </c>
      <c r="E1092" t="s">
        <v>59</v>
      </c>
      <c r="F1092" s="14">
        <v>2864410</v>
      </c>
      <c r="G1092" s="14">
        <v>2864410</v>
      </c>
      <c r="H1092">
        <f t="shared" si="34"/>
        <v>0</v>
      </c>
      <c r="I1092" s="20">
        <f t="shared" si="35"/>
        <v>44743</v>
      </c>
    </row>
    <row r="1093" spans="1:9" x14ac:dyDescent="0.2">
      <c r="A1093">
        <v>2022</v>
      </c>
      <c r="B1093">
        <v>7</v>
      </c>
      <c r="C1093" t="s">
        <v>55</v>
      </c>
      <c r="D1093" t="s">
        <v>56</v>
      </c>
      <c r="E1093" t="s">
        <v>57</v>
      </c>
      <c r="F1093" s="14">
        <v>228367</v>
      </c>
      <c r="G1093" s="14">
        <v>228367</v>
      </c>
      <c r="H1093">
        <f t="shared" si="34"/>
        <v>0</v>
      </c>
      <c r="I1093" s="20">
        <f t="shared" si="35"/>
        <v>44743</v>
      </c>
    </row>
    <row r="1094" spans="1:9" x14ac:dyDescent="0.2">
      <c r="A1094">
        <v>2022</v>
      </c>
      <c r="B1094">
        <v>7</v>
      </c>
      <c r="C1094" t="s">
        <v>64</v>
      </c>
      <c r="D1094" t="s">
        <v>56</v>
      </c>
      <c r="E1094" t="s">
        <v>58</v>
      </c>
      <c r="F1094" s="14">
        <v>33341</v>
      </c>
      <c r="G1094" s="14">
        <v>33341</v>
      </c>
      <c r="H1094">
        <f t="shared" si="34"/>
        <v>0</v>
      </c>
      <c r="I1094" s="20">
        <f t="shared" si="35"/>
        <v>44743</v>
      </c>
    </row>
    <row r="1095" spans="1:9" x14ac:dyDescent="0.2">
      <c r="A1095">
        <v>2022</v>
      </c>
      <c r="B1095">
        <v>7</v>
      </c>
      <c r="C1095" t="s">
        <v>55</v>
      </c>
      <c r="D1095" t="s">
        <v>60</v>
      </c>
      <c r="E1095" t="s">
        <v>61</v>
      </c>
      <c r="F1095" s="14">
        <v>206331713</v>
      </c>
      <c r="G1095" s="14">
        <v>137552765</v>
      </c>
      <c r="H1095">
        <f t="shared" si="34"/>
        <v>0</v>
      </c>
      <c r="I1095" s="20">
        <f t="shared" si="35"/>
        <v>44743</v>
      </c>
    </row>
    <row r="1096" spans="1:9" x14ac:dyDescent="0.2">
      <c r="A1096">
        <v>2022</v>
      </c>
      <c r="B1096">
        <v>7</v>
      </c>
      <c r="C1096" t="s">
        <v>55</v>
      </c>
      <c r="D1096" t="s">
        <v>60</v>
      </c>
      <c r="E1096" t="s">
        <v>63</v>
      </c>
      <c r="F1096" s="14">
        <v>176497961</v>
      </c>
      <c r="G1096" s="14">
        <v>103822288</v>
      </c>
      <c r="H1096">
        <f t="shared" si="34"/>
        <v>0</v>
      </c>
      <c r="I1096" s="20">
        <f t="shared" si="35"/>
        <v>44743</v>
      </c>
    </row>
    <row r="1097" spans="1:9" x14ac:dyDescent="0.2">
      <c r="A1097">
        <v>2022</v>
      </c>
      <c r="B1097">
        <v>7</v>
      </c>
      <c r="C1097" t="s">
        <v>62</v>
      </c>
      <c r="D1097" t="s">
        <v>60</v>
      </c>
      <c r="E1097" t="s">
        <v>63</v>
      </c>
      <c r="F1097" s="14">
        <v>19681058</v>
      </c>
      <c r="G1097" s="14">
        <v>11577093</v>
      </c>
      <c r="H1097">
        <f t="shared" si="34"/>
        <v>0</v>
      </c>
      <c r="I1097" s="20">
        <f t="shared" si="35"/>
        <v>44743</v>
      </c>
    </row>
    <row r="1098" spans="1:9" x14ac:dyDescent="0.2">
      <c r="A1098">
        <v>2022</v>
      </c>
      <c r="B1098">
        <v>7</v>
      </c>
      <c r="C1098" t="s">
        <v>64</v>
      </c>
      <c r="D1098" t="s">
        <v>60</v>
      </c>
      <c r="E1098" t="s">
        <v>61</v>
      </c>
      <c r="F1098" s="14">
        <v>13073576</v>
      </c>
      <c r="G1098" s="14">
        <v>8715707</v>
      </c>
      <c r="H1098">
        <f t="shared" si="34"/>
        <v>0</v>
      </c>
      <c r="I1098" s="20">
        <f t="shared" si="35"/>
        <v>44743</v>
      </c>
    </row>
    <row r="1099" spans="1:9" x14ac:dyDescent="0.2">
      <c r="A1099">
        <v>2022</v>
      </c>
      <c r="B1099">
        <v>7</v>
      </c>
      <c r="C1099" t="s">
        <v>62</v>
      </c>
      <c r="D1099" t="s">
        <v>60</v>
      </c>
      <c r="E1099" t="s">
        <v>76</v>
      </c>
      <c r="F1099" s="14">
        <v>3696974</v>
      </c>
      <c r="G1099" s="14">
        <v>2310609</v>
      </c>
      <c r="H1099">
        <f t="shared" si="34"/>
        <v>0</v>
      </c>
      <c r="I1099" s="20">
        <f t="shared" si="35"/>
        <v>44743</v>
      </c>
    </row>
    <row r="1100" spans="1:9" x14ac:dyDescent="0.2">
      <c r="A1100">
        <v>2022</v>
      </c>
      <c r="B1100">
        <v>7</v>
      </c>
      <c r="C1100" t="s">
        <v>55</v>
      </c>
      <c r="D1100" t="s">
        <v>60</v>
      </c>
      <c r="E1100" t="s">
        <v>65</v>
      </c>
      <c r="F1100" s="14">
        <v>1820757</v>
      </c>
      <c r="G1100" s="14">
        <v>1137973</v>
      </c>
      <c r="H1100">
        <f t="shared" si="34"/>
        <v>1</v>
      </c>
      <c r="I1100" s="20">
        <f t="shared" si="35"/>
        <v>44743</v>
      </c>
    </row>
    <row r="1101" spans="1:9" x14ac:dyDescent="0.2">
      <c r="A1101">
        <v>2022</v>
      </c>
      <c r="B1101">
        <v>7</v>
      </c>
      <c r="C1101" t="s">
        <v>55</v>
      </c>
      <c r="D1101" t="s">
        <v>60</v>
      </c>
      <c r="E1101" t="s">
        <v>76</v>
      </c>
      <c r="F1101" s="14">
        <v>586430</v>
      </c>
      <c r="G1101" s="14">
        <v>366519</v>
      </c>
      <c r="H1101">
        <f t="shared" si="34"/>
        <v>0</v>
      </c>
      <c r="I1101" s="20">
        <f t="shared" si="35"/>
        <v>44743</v>
      </c>
    </row>
    <row r="1102" spans="1:9" x14ac:dyDescent="0.2">
      <c r="A1102">
        <v>2022</v>
      </c>
      <c r="B1102">
        <v>7</v>
      </c>
      <c r="C1102" t="s">
        <v>55</v>
      </c>
      <c r="D1102" t="s">
        <v>66</v>
      </c>
      <c r="E1102" t="s">
        <v>63</v>
      </c>
      <c r="F1102" s="14">
        <v>8137445</v>
      </c>
      <c r="G1102" s="14">
        <v>4786731</v>
      </c>
      <c r="H1102">
        <f t="shared" si="34"/>
        <v>0</v>
      </c>
      <c r="I1102" s="20">
        <f t="shared" si="35"/>
        <v>44743</v>
      </c>
    </row>
    <row r="1103" spans="1:9" x14ac:dyDescent="0.2">
      <c r="A1103">
        <v>2022</v>
      </c>
      <c r="B1103">
        <v>7</v>
      </c>
      <c r="C1103" t="s">
        <v>55</v>
      </c>
      <c r="D1103" t="s">
        <v>66</v>
      </c>
      <c r="E1103" t="s">
        <v>67</v>
      </c>
      <c r="F1103" s="14">
        <v>7093788</v>
      </c>
      <c r="G1103" s="14">
        <v>4729189</v>
      </c>
      <c r="H1103">
        <f t="shared" si="34"/>
        <v>0</v>
      </c>
      <c r="I1103" s="20">
        <f t="shared" si="35"/>
        <v>44743</v>
      </c>
    </row>
    <row r="1104" spans="1:9" x14ac:dyDescent="0.2">
      <c r="A1104">
        <v>2022</v>
      </c>
      <c r="B1104">
        <v>7</v>
      </c>
      <c r="C1104" t="s">
        <v>55</v>
      </c>
      <c r="D1104" t="s">
        <v>66</v>
      </c>
      <c r="E1104" t="s">
        <v>68</v>
      </c>
      <c r="F1104" s="14">
        <v>2377142</v>
      </c>
      <c r="G1104" s="14">
        <v>2377142</v>
      </c>
      <c r="H1104">
        <f t="shared" si="34"/>
        <v>0</v>
      </c>
      <c r="I1104" s="20">
        <f t="shared" si="35"/>
        <v>44743</v>
      </c>
    </row>
    <row r="1105" spans="1:9" x14ac:dyDescent="0.2">
      <c r="A1105">
        <v>2022</v>
      </c>
      <c r="B1105">
        <v>7</v>
      </c>
      <c r="C1105" t="s">
        <v>64</v>
      </c>
      <c r="D1105" t="s">
        <v>66</v>
      </c>
      <c r="E1105" t="s">
        <v>68</v>
      </c>
      <c r="F1105" s="14">
        <v>2348368</v>
      </c>
      <c r="G1105" s="14">
        <v>2348368</v>
      </c>
      <c r="H1105">
        <f t="shared" si="34"/>
        <v>0</v>
      </c>
      <c r="I1105" s="20">
        <f t="shared" si="35"/>
        <v>44743</v>
      </c>
    </row>
    <row r="1106" spans="1:9" x14ac:dyDescent="0.2">
      <c r="A1106">
        <v>2022</v>
      </c>
      <c r="B1106">
        <v>7</v>
      </c>
      <c r="C1106" t="s">
        <v>55</v>
      </c>
      <c r="D1106" t="s">
        <v>66</v>
      </c>
      <c r="E1106" t="s">
        <v>74</v>
      </c>
      <c r="F1106" s="14">
        <v>570253</v>
      </c>
      <c r="G1106" s="14">
        <v>518411</v>
      </c>
      <c r="H1106">
        <f t="shared" si="34"/>
        <v>0</v>
      </c>
      <c r="I1106" s="20">
        <f t="shared" si="35"/>
        <v>44743</v>
      </c>
    </row>
    <row r="1107" spans="1:9" x14ac:dyDescent="0.2">
      <c r="A1107">
        <v>2022</v>
      </c>
      <c r="B1107">
        <v>7</v>
      </c>
      <c r="C1107" t="s">
        <v>55</v>
      </c>
      <c r="D1107" t="s">
        <v>66</v>
      </c>
      <c r="E1107" t="s">
        <v>75</v>
      </c>
      <c r="F1107" s="14">
        <v>164065</v>
      </c>
      <c r="G1107" s="14">
        <v>117189</v>
      </c>
      <c r="H1107">
        <f t="shared" si="34"/>
        <v>0</v>
      </c>
      <c r="I1107" s="20">
        <f t="shared" si="35"/>
        <v>44743</v>
      </c>
    </row>
    <row r="1108" spans="1:9" x14ac:dyDescent="0.2">
      <c r="A1108">
        <v>2022</v>
      </c>
      <c r="B1108">
        <v>7</v>
      </c>
      <c r="C1108" t="s">
        <v>55</v>
      </c>
      <c r="D1108" t="s">
        <v>66</v>
      </c>
      <c r="E1108" t="s">
        <v>59</v>
      </c>
      <c r="F1108" s="14">
        <v>51846</v>
      </c>
      <c r="G1108" s="14">
        <v>51846</v>
      </c>
      <c r="H1108">
        <f t="shared" si="34"/>
        <v>0</v>
      </c>
      <c r="I1108" s="20">
        <f t="shared" si="35"/>
        <v>44743</v>
      </c>
    </row>
    <row r="1109" spans="1:9" x14ac:dyDescent="0.2">
      <c r="A1109">
        <v>2022</v>
      </c>
      <c r="B1109">
        <v>7</v>
      </c>
      <c r="C1109" t="s">
        <v>55</v>
      </c>
      <c r="D1109" t="s">
        <v>70</v>
      </c>
      <c r="E1109" t="s">
        <v>68</v>
      </c>
      <c r="F1109" s="14">
        <v>1204369135</v>
      </c>
      <c r="G1109" s="14">
        <v>1204369135</v>
      </c>
      <c r="H1109">
        <f t="shared" si="34"/>
        <v>0</v>
      </c>
      <c r="I1109" s="20">
        <f t="shared" si="35"/>
        <v>44743</v>
      </c>
    </row>
    <row r="1110" spans="1:9" x14ac:dyDescent="0.2">
      <c r="A1110">
        <v>2022</v>
      </c>
      <c r="B1110">
        <v>7</v>
      </c>
      <c r="C1110" t="s">
        <v>62</v>
      </c>
      <c r="D1110" t="s">
        <v>70</v>
      </c>
      <c r="E1110" t="s">
        <v>63</v>
      </c>
      <c r="F1110" s="14">
        <v>6236673</v>
      </c>
      <c r="G1110" s="14">
        <v>3668631</v>
      </c>
      <c r="H1110">
        <f t="shared" si="34"/>
        <v>0</v>
      </c>
      <c r="I1110" s="20">
        <f t="shared" si="35"/>
        <v>44743</v>
      </c>
    </row>
    <row r="1111" spans="1:9" x14ac:dyDescent="0.2">
      <c r="A1111">
        <v>2022</v>
      </c>
      <c r="B1111">
        <v>7</v>
      </c>
      <c r="C1111" t="s">
        <v>64</v>
      </c>
      <c r="D1111" t="s">
        <v>70</v>
      </c>
      <c r="E1111" t="s">
        <v>68</v>
      </c>
      <c r="F1111" s="14">
        <v>1299629</v>
      </c>
      <c r="G1111" s="14">
        <v>1299629</v>
      </c>
      <c r="H1111">
        <f t="shared" si="34"/>
        <v>0</v>
      </c>
      <c r="I1111" s="20">
        <f t="shared" si="35"/>
        <v>44743</v>
      </c>
    </row>
    <row r="1112" spans="1:9" x14ac:dyDescent="0.2">
      <c r="A1112">
        <v>2022</v>
      </c>
      <c r="B1112">
        <v>8</v>
      </c>
      <c r="C1112" t="s">
        <v>55</v>
      </c>
      <c r="D1112" t="s">
        <v>56</v>
      </c>
      <c r="E1112" t="s">
        <v>59</v>
      </c>
      <c r="F1112" s="14">
        <v>51613593</v>
      </c>
      <c r="G1112" s="14">
        <v>51613593</v>
      </c>
      <c r="H1112">
        <f t="shared" si="34"/>
        <v>0</v>
      </c>
      <c r="I1112" s="20">
        <f t="shared" si="35"/>
        <v>44774</v>
      </c>
    </row>
    <row r="1113" spans="1:9" x14ac:dyDescent="0.2">
      <c r="A1113">
        <v>2022</v>
      </c>
      <c r="B1113">
        <v>8</v>
      </c>
      <c r="C1113" t="s">
        <v>55</v>
      </c>
      <c r="D1113" t="s">
        <v>56</v>
      </c>
      <c r="E1113" t="s">
        <v>58</v>
      </c>
      <c r="F1113" s="14">
        <v>6610857</v>
      </c>
      <c r="G1113" s="14">
        <v>6610857</v>
      </c>
      <c r="H1113">
        <f t="shared" si="34"/>
        <v>0</v>
      </c>
      <c r="I1113" s="20">
        <f t="shared" si="35"/>
        <v>44774</v>
      </c>
    </row>
    <row r="1114" spans="1:9" x14ac:dyDescent="0.2">
      <c r="A1114">
        <v>2022</v>
      </c>
      <c r="B1114">
        <v>8</v>
      </c>
      <c r="C1114" t="s">
        <v>64</v>
      </c>
      <c r="D1114" t="s">
        <v>56</v>
      </c>
      <c r="E1114" t="s">
        <v>59</v>
      </c>
      <c r="F1114" s="14">
        <v>2029041</v>
      </c>
      <c r="G1114" s="14">
        <v>2029041</v>
      </c>
      <c r="H1114">
        <f t="shared" si="34"/>
        <v>0</v>
      </c>
      <c r="I1114" s="20">
        <f t="shared" si="35"/>
        <v>44774</v>
      </c>
    </row>
    <row r="1115" spans="1:9" x14ac:dyDescent="0.2">
      <c r="A1115">
        <v>2022</v>
      </c>
      <c r="B1115">
        <v>8</v>
      </c>
      <c r="C1115" t="s">
        <v>64</v>
      </c>
      <c r="D1115" t="s">
        <v>56</v>
      </c>
      <c r="E1115" t="s">
        <v>58</v>
      </c>
      <c r="F1115" s="14">
        <v>1162900</v>
      </c>
      <c r="G1115" s="14">
        <v>1162900</v>
      </c>
      <c r="H1115">
        <f t="shared" si="34"/>
        <v>0</v>
      </c>
      <c r="I1115" s="20">
        <f t="shared" si="35"/>
        <v>44774</v>
      </c>
    </row>
    <row r="1116" spans="1:9" x14ac:dyDescent="0.2">
      <c r="A1116">
        <v>2022</v>
      </c>
      <c r="B1116">
        <v>8</v>
      </c>
      <c r="C1116" t="s">
        <v>55</v>
      </c>
      <c r="D1116" t="s">
        <v>56</v>
      </c>
      <c r="E1116" t="s">
        <v>57</v>
      </c>
      <c r="F1116" s="14">
        <v>142473</v>
      </c>
      <c r="G1116" s="14">
        <v>142473</v>
      </c>
      <c r="H1116">
        <f t="shared" si="34"/>
        <v>0</v>
      </c>
      <c r="I1116" s="20">
        <f t="shared" si="35"/>
        <v>44774</v>
      </c>
    </row>
    <row r="1117" spans="1:9" x14ac:dyDescent="0.2">
      <c r="A1117">
        <v>2022</v>
      </c>
      <c r="B1117">
        <v>8</v>
      </c>
      <c r="C1117" t="s">
        <v>55</v>
      </c>
      <c r="D1117" t="s">
        <v>60</v>
      </c>
      <c r="E1117" t="s">
        <v>61</v>
      </c>
      <c r="F1117" s="14">
        <v>227752481</v>
      </c>
      <c r="G1117" s="14">
        <v>151833118</v>
      </c>
      <c r="H1117">
        <f t="shared" si="34"/>
        <v>0</v>
      </c>
      <c r="I1117" s="20">
        <f t="shared" si="35"/>
        <v>44774</v>
      </c>
    </row>
    <row r="1118" spans="1:9" x14ac:dyDescent="0.2">
      <c r="A1118">
        <v>2022</v>
      </c>
      <c r="B1118">
        <v>8</v>
      </c>
      <c r="C1118" t="s">
        <v>55</v>
      </c>
      <c r="D1118" t="s">
        <v>60</v>
      </c>
      <c r="E1118" t="s">
        <v>63</v>
      </c>
      <c r="F1118" s="14">
        <v>195495373</v>
      </c>
      <c r="G1118" s="14">
        <v>114997212</v>
      </c>
      <c r="H1118">
        <f t="shared" si="34"/>
        <v>0</v>
      </c>
      <c r="I1118" s="20">
        <f t="shared" si="35"/>
        <v>44774</v>
      </c>
    </row>
    <row r="1119" spans="1:9" x14ac:dyDescent="0.2">
      <c r="A1119">
        <v>2022</v>
      </c>
      <c r="B1119">
        <v>8</v>
      </c>
      <c r="C1119" t="s">
        <v>64</v>
      </c>
      <c r="D1119" t="s">
        <v>60</v>
      </c>
      <c r="E1119" t="s">
        <v>61</v>
      </c>
      <c r="F1119" s="14">
        <v>22905023</v>
      </c>
      <c r="G1119" s="14">
        <v>15269993</v>
      </c>
      <c r="H1119">
        <f t="shared" si="34"/>
        <v>0</v>
      </c>
      <c r="I1119" s="20">
        <f t="shared" si="35"/>
        <v>44774</v>
      </c>
    </row>
    <row r="1120" spans="1:9" x14ac:dyDescent="0.2">
      <c r="A1120">
        <v>2022</v>
      </c>
      <c r="B1120">
        <v>8</v>
      </c>
      <c r="C1120" t="s">
        <v>62</v>
      </c>
      <c r="D1120" t="s">
        <v>60</v>
      </c>
      <c r="E1120" t="s">
        <v>63</v>
      </c>
      <c r="F1120" s="14">
        <v>19441981</v>
      </c>
      <c r="G1120" s="14">
        <v>11436459</v>
      </c>
      <c r="H1120">
        <f t="shared" si="34"/>
        <v>0</v>
      </c>
      <c r="I1120" s="20">
        <f t="shared" si="35"/>
        <v>44774</v>
      </c>
    </row>
    <row r="1121" spans="1:9" x14ac:dyDescent="0.2">
      <c r="A1121">
        <v>2022</v>
      </c>
      <c r="B1121">
        <v>8</v>
      </c>
      <c r="C1121" t="s">
        <v>62</v>
      </c>
      <c r="D1121" t="s">
        <v>60</v>
      </c>
      <c r="E1121" t="s">
        <v>76</v>
      </c>
      <c r="F1121" s="14">
        <v>5356333</v>
      </c>
      <c r="G1121" s="14">
        <v>3347708</v>
      </c>
      <c r="H1121">
        <f t="shared" si="34"/>
        <v>0</v>
      </c>
      <c r="I1121" s="20">
        <f t="shared" si="35"/>
        <v>44774</v>
      </c>
    </row>
    <row r="1122" spans="1:9" x14ac:dyDescent="0.2">
      <c r="A1122">
        <v>2022</v>
      </c>
      <c r="B1122">
        <v>8</v>
      </c>
      <c r="C1122" t="s">
        <v>62</v>
      </c>
      <c r="D1122" t="s">
        <v>60</v>
      </c>
      <c r="E1122" t="s">
        <v>65</v>
      </c>
      <c r="F1122" s="14">
        <v>2635191</v>
      </c>
      <c r="G1122" s="14">
        <v>1646994</v>
      </c>
      <c r="H1122">
        <f t="shared" si="34"/>
        <v>1</v>
      </c>
      <c r="I1122" s="20">
        <f t="shared" si="35"/>
        <v>44774</v>
      </c>
    </row>
    <row r="1123" spans="1:9" x14ac:dyDescent="0.2">
      <c r="A1123">
        <v>2022</v>
      </c>
      <c r="B1123">
        <v>8</v>
      </c>
      <c r="C1123" t="s">
        <v>55</v>
      </c>
      <c r="D1123" t="s">
        <v>60</v>
      </c>
      <c r="E1123" t="s">
        <v>65</v>
      </c>
      <c r="F1123" s="14">
        <v>628109</v>
      </c>
      <c r="G1123" s="14">
        <v>392568</v>
      </c>
      <c r="H1123">
        <f t="shared" si="34"/>
        <v>1</v>
      </c>
      <c r="I1123" s="20">
        <f t="shared" si="35"/>
        <v>44774</v>
      </c>
    </row>
    <row r="1124" spans="1:9" x14ac:dyDescent="0.2">
      <c r="A1124">
        <v>2022</v>
      </c>
      <c r="B1124">
        <v>8</v>
      </c>
      <c r="C1124" t="s">
        <v>55</v>
      </c>
      <c r="D1124" t="s">
        <v>66</v>
      </c>
      <c r="E1124" t="s">
        <v>63</v>
      </c>
      <c r="F1124" s="14">
        <v>12327962</v>
      </c>
      <c r="G1124" s="14">
        <v>7251742</v>
      </c>
      <c r="H1124">
        <f t="shared" si="34"/>
        <v>0</v>
      </c>
      <c r="I1124" s="20">
        <f t="shared" si="35"/>
        <v>44774</v>
      </c>
    </row>
    <row r="1125" spans="1:9" x14ac:dyDescent="0.2">
      <c r="A1125">
        <v>2022</v>
      </c>
      <c r="B1125">
        <v>8</v>
      </c>
      <c r="C1125" t="s">
        <v>55</v>
      </c>
      <c r="D1125" t="s">
        <v>66</v>
      </c>
      <c r="E1125" t="s">
        <v>67</v>
      </c>
      <c r="F1125" s="14">
        <v>11102300</v>
      </c>
      <c r="G1125" s="14">
        <v>7401530</v>
      </c>
      <c r="H1125">
        <f t="shared" si="34"/>
        <v>0</v>
      </c>
      <c r="I1125" s="20">
        <f t="shared" si="35"/>
        <v>44774</v>
      </c>
    </row>
    <row r="1126" spans="1:9" x14ac:dyDescent="0.2">
      <c r="A1126">
        <v>2022</v>
      </c>
      <c r="B1126">
        <v>8</v>
      </c>
      <c r="C1126" t="s">
        <v>64</v>
      </c>
      <c r="D1126" t="s">
        <v>66</v>
      </c>
      <c r="E1126" t="s">
        <v>68</v>
      </c>
      <c r="F1126" s="14">
        <v>8397241</v>
      </c>
      <c r="G1126" s="14">
        <v>8397241</v>
      </c>
      <c r="H1126">
        <f t="shared" si="34"/>
        <v>0</v>
      </c>
      <c r="I1126" s="20">
        <f t="shared" si="35"/>
        <v>44774</v>
      </c>
    </row>
    <row r="1127" spans="1:9" x14ac:dyDescent="0.2">
      <c r="A1127">
        <v>2022</v>
      </c>
      <c r="B1127">
        <v>8</v>
      </c>
      <c r="C1127" t="s">
        <v>55</v>
      </c>
      <c r="D1127" t="s">
        <v>66</v>
      </c>
      <c r="E1127" t="s">
        <v>68</v>
      </c>
      <c r="F1127" s="14">
        <v>2438601</v>
      </c>
      <c r="G1127" s="14">
        <v>2438601</v>
      </c>
      <c r="H1127">
        <f t="shared" si="34"/>
        <v>0</v>
      </c>
      <c r="I1127" s="20">
        <f t="shared" si="35"/>
        <v>44774</v>
      </c>
    </row>
    <row r="1128" spans="1:9" x14ac:dyDescent="0.2">
      <c r="A1128">
        <v>2022</v>
      </c>
      <c r="B1128">
        <v>8</v>
      </c>
      <c r="C1128" t="s">
        <v>55</v>
      </c>
      <c r="D1128" t="s">
        <v>66</v>
      </c>
      <c r="E1128" t="s">
        <v>69</v>
      </c>
      <c r="F1128" s="14">
        <v>329330</v>
      </c>
      <c r="G1128" s="14">
        <v>205832</v>
      </c>
      <c r="H1128">
        <f t="shared" si="34"/>
        <v>0</v>
      </c>
      <c r="I1128" s="20">
        <f t="shared" si="35"/>
        <v>44774</v>
      </c>
    </row>
    <row r="1129" spans="1:9" x14ac:dyDescent="0.2">
      <c r="A1129">
        <v>2022</v>
      </c>
      <c r="B1129">
        <v>8</v>
      </c>
      <c r="C1129" t="s">
        <v>55</v>
      </c>
      <c r="D1129" t="s">
        <v>66</v>
      </c>
      <c r="E1129" t="s">
        <v>74</v>
      </c>
      <c r="F1129" s="14">
        <v>194479</v>
      </c>
      <c r="G1129" s="14">
        <v>176799</v>
      </c>
      <c r="H1129">
        <f t="shared" si="34"/>
        <v>0</v>
      </c>
      <c r="I1129" s="20">
        <f t="shared" si="35"/>
        <v>44774</v>
      </c>
    </row>
    <row r="1130" spans="1:9" x14ac:dyDescent="0.2">
      <c r="A1130">
        <v>2022</v>
      </c>
      <c r="B1130">
        <v>8</v>
      </c>
      <c r="C1130" t="s">
        <v>55</v>
      </c>
      <c r="D1130" t="s">
        <v>66</v>
      </c>
      <c r="E1130" t="s">
        <v>59</v>
      </c>
      <c r="F1130" s="14">
        <v>62165</v>
      </c>
      <c r="G1130" s="14">
        <v>62165</v>
      </c>
      <c r="H1130">
        <f t="shared" si="34"/>
        <v>0</v>
      </c>
      <c r="I1130" s="20">
        <f t="shared" si="35"/>
        <v>44774</v>
      </c>
    </row>
    <row r="1131" spans="1:9" x14ac:dyDescent="0.2">
      <c r="A1131">
        <v>2022</v>
      </c>
      <c r="B1131">
        <v>8</v>
      </c>
      <c r="C1131" t="s">
        <v>55</v>
      </c>
      <c r="D1131" t="s">
        <v>70</v>
      </c>
      <c r="E1131" t="s">
        <v>68</v>
      </c>
      <c r="F1131" s="14">
        <v>1265634580</v>
      </c>
      <c r="G1131" s="14">
        <v>1265634580</v>
      </c>
      <c r="H1131">
        <f t="shared" si="34"/>
        <v>0</v>
      </c>
      <c r="I1131" s="20">
        <f t="shared" si="35"/>
        <v>44774</v>
      </c>
    </row>
    <row r="1132" spans="1:9" x14ac:dyDescent="0.2">
      <c r="A1132">
        <v>2022</v>
      </c>
      <c r="B1132">
        <v>8</v>
      </c>
      <c r="C1132" t="s">
        <v>62</v>
      </c>
      <c r="D1132" t="s">
        <v>70</v>
      </c>
      <c r="E1132" t="s">
        <v>63</v>
      </c>
      <c r="F1132" s="14">
        <v>3339016</v>
      </c>
      <c r="G1132" s="14">
        <v>1964127</v>
      </c>
      <c r="H1132">
        <f t="shared" si="34"/>
        <v>0</v>
      </c>
      <c r="I1132" s="20">
        <f t="shared" si="35"/>
        <v>44774</v>
      </c>
    </row>
    <row r="1133" spans="1:9" x14ac:dyDescent="0.2">
      <c r="A1133">
        <v>2022</v>
      </c>
      <c r="B1133">
        <v>8</v>
      </c>
      <c r="C1133" t="s">
        <v>64</v>
      </c>
      <c r="D1133" t="s">
        <v>70</v>
      </c>
      <c r="E1133" t="s">
        <v>68</v>
      </c>
      <c r="F1133" s="14">
        <v>1330253</v>
      </c>
      <c r="G1133" s="14">
        <v>1330253</v>
      </c>
      <c r="H1133">
        <f t="shared" si="34"/>
        <v>0</v>
      </c>
      <c r="I1133" s="20">
        <f t="shared" si="35"/>
        <v>44774</v>
      </c>
    </row>
    <row r="1134" spans="1:9" x14ac:dyDescent="0.2">
      <c r="A1134">
        <v>2022</v>
      </c>
      <c r="B1134">
        <v>8</v>
      </c>
      <c r="C1134" t="s">
        <v>64</v>
      </c>
      <c r="D1134" t="s">
        <v>71</v>
      </c>
      <c r="E1134" t="s">
        <v>72</v>
      </c>
      <c r="F1134" s="14">
        <v>30374</v>
      </c>
      <c r="G1134" s="14">
        <v>30374</v>
      </c>
      <c r="H1134">
        <f t="shared" si="34"/>
        <v>0</v>
      </c>
      <c r="I1134" s="20">
        <f t="shared" si="35"/>
        <v>44774</v>
      </c>
    </row>
    <row r="1135" spans="1:9" x14ac:dyDescent="0.2">
      <c r="A1135">
        <v>2022</v>
      </c>
      <c r="B1135">
        <v>9</v>
      </c>
      <c r="C1135" t="s">
        <v>55</v>
      </c>
      <c r="D1135" t="s">
        <v>56</v>
      </c>
      <c r="E1135" t="s">
        <v>59</v>
      </c>
      <c r="F1135" s="14">
        <v>48251690</v>
      </c>
      <c r="G1135" s="14">
        <v>48251690</v>
      </c>
      <c r="H1135">
        <f t="shared" si="34"/>
        <v>0</v>
      </c>
      <c r="I1135" s="20">
        <f t="shared" si="35"/>
        <v>44805</v>
      </c>
    </row>
    <row r="1136" spans="1:9" x14ac:dyDescent="0.2">
      <c r="A1136">
        <v>2022</v>
      </c>
      <c r="B1136">
        <v>9</v>
      </c>
      <c r="C1136" t="s">
        <v>55</v>
      </c>
      <c r="D1136" t="s">
        <v>56</v>
      </c>
      <c r="E1136" t="s">
        <v>58</v>
      </c>
      <c r="F1136" s="14">
        <v>7095726</v>
      </c>
      <c r="G1136" s="14">
        <v>7095726</v>
      </c>
      <c r="H1136">
        <f t="shared" si="34"/>
        <v>0</v>
      </c>
      <c r="I1136" s="20">
        <f t="shared" si="35"/>
        <v>44805</v>
      </c>
    </row>
    <row r="1137" spans="1:9" x14ac:dyDescent="0.2">
      <c r="A1137">
        <v>2022</v>
      </c>
      <c r="B1137">
        <v>9</v>
      </c>
      <c r="C1137" t="s">
        <v>64</v>
      </c>
      <c r="D1137" t="s">
        <v>56</v>
      </c>
      <c r="E1137" t="s">
        <v>59</v>
      </c>
      <c r="F1137" s="14">
        <v>1997694</v>
      </c>
      <c r="G1137" s="14">
        <v>1997694</v>
      </c>
      <c r="H1137">
        <f t="shared" si="34"/>
        <v>0</v>
      </c>
      <c r="I1137" s="20">
        <f t="shared" si="35"/>
        <v>44805</v>
      </c>
    </row>
    <row r="1138" spans="1:9" x14ac:dyDescent="0.2">
      <c r="A1138">
        <v>2022</v>
      </c>
      <c r="B1138">
        <v>9</v>
      </c>
      <c r="C1138" t="s">
        <v>64</v>
      </c>
      <c r="D1138" t="s">
        <v>56</v>
      </c>
      <c r="E1138" t="s">
        <v>58</v>
      </c>
      <c r="F1138" s="14">
        <v>1199806</v>
      </c>
      <c r="G1138" s="14">
        <v>1199806</v>
      </c>
      <c r="H1138">
        <f t="shared" si="34"/>
        <v>0</v>
      </c>
      <c r="I1138" s="20">
        <f t="shared" si="35"/>
        <v>44805</v>
      </c>
    </row>
    <row r="1139" spans="1:9" x14ac:dyDescent="0.2">
      <c r="A1139">
        <v>2022</v>
      </c>
      <c r="B1139">
        <v>9</v>
      </c>
      <c r="C1139" t="s">
        <v>55</v>
      </c>
      <c r="D1139" t="s">
        <v>56</v>
      </c>
      <c r="E1139" t="s">
        <v>57</v>
      </c>
      <c r="F1139" s="14">
        <v>143328</v>
      </c>
      <c r="G1139" s="14">
        <v>143328</v>
      </c>
      <c r="H1139">
        <f t="shared" si="34"/>
        <v>0</v>
      </c>
      <c r="I1139" s="20">
        <f t="shared" si="35"/>
        <v>44805</v>
      </c>
    </row>
    <row r="1140" spans="1:9" x14ac:dyDescent="0.2">
      <c r="A1140">
        <v>2022</v>
      </c>
      <c r="B1140">
        <v>9</v>
      </c>
      <c r="C1140" t="s">
        <v>55</v>
      </c>
      <c r="D1140" t="s">
        <v>60</v>
      </c>
      <c r="E1140" t="s">
        <v>61</v>
      </c>
      <c r="F1140" s="14">
        <v>212794117</v>
      </c>
      <c r="G1140" s="14">
        <v>141860945</v>
      </c>
      <c r="H1140">
        <f t="shared" si="34"/>
        <v>0</v>
      </c>
      <c r="I1140" s="20">
        <f t="shared" si="35"/>
        <v>44805</v>
      </c>
    </row>
    <row r="1141" spans="1:9" x14ac:dyDescent="0.2">
      <c r="A1141">
        <v>2022</v>
      </c>
      <c r="B1141">
        <v>9</v>
      </c>
      <c r="C1141" t="s">
        <v>55</v>
      </c>
      <c r="D1141" t="s">
        <v>60</v>
      </c>
      <c r="E1141" t="s">
        <v>63</v>
      </c>
      <c r="F1141" s="14">
        <v>201820259</v>
      </c>
      <c r="G1141" s="14">
        <v>118717748</v>
      </c>
      <c r="H1141">
        <f t="shared" si="34"/>
        <v>0</v>
      </c>
      <c r="I1141" s="20">
        <f t="shared" si="35"/>
        <v>44805</v>
      </c>
    </row>
    <row r="1142" spans="1:9" x14ac:dyDescent="0.2">
      <c r="A1142">
        <v>2022</v>
      </c>
      <c r="B1142">
        <v>9</v>
      </c>
      <c r="C1142" t="s">
        <v>62</v>
      </c>
      <c r="D1142" t="s">
        <v>60</v>
      </c>
      <c r="E1142" t="s">
        <v>63</v>
      </c>
      <c r="F1142" s="14">
        <v>58434071</v>
      </c>
      <c r="G1142" s="14">
        <v>34372983</v>
      </c>
      <c r="H1142">
        <f t="shared" si="34"/>
        <v>0</v>
      </c>
      <c r="I1142" s="20">
        <f t="shared" si="35"/>
        <v>44805</v>
      </c>
    </row>
    <row r="1143" spans="1:9" x14ac:dyDescent="0.2">
      <c r="A1143">
        <v>2022</v>
      </c>
      <c r="B1143">
        <v>9</v>
      </c>
      <c r="C1143" t="s">
        <v>64</v>
      </c>
      <c r="D1143" t="s">
        <v>60</v>
      </c>
      <c r="E1143" t="s">
        <v>61</v>
      </c>
      <c r="F1143" s="14">
        <v>28637120</v>
      </c>
      <c r="G1143" s="14">
        <v>19091391</v>
      </c>
      <c r="H1143">
        <f t="shared" si="34"/>
        <v>0</v>
      </c>
      <c r="I1143" s="20">
        <f t="shared" si="35"/>
        <v>44805</v>
      </c>
    </row>
    <row r="1144" spans="1:9" x14ac:dyDescent="0.2">
      <c r="A1144">
        <v>2022</v>
      </c>
      <c r="B1144">
        <v>9</v>
      </c>
      <c r="C1144" t="s">
        <v>55</v>
      </c>
      <c r="D1144" t="s">
        <v>60</v>
      </c>
      <c r="E1144" t="s">
        <v>65</v>
      </c>
      <c r="F1144" s="14">
        <v>629714</v>
      </c>
      <c r="G1144" s="14">
        <v>393571</v>
      </c>
      <c r="H1144">
        <f t="shared" si="34"/>
        <v>1</v>
      </c>
      <c r="I1144" s="20">
        <f t="shared" si="35"/>
        <v>44805</v>
      </c>
    </row>
    <row r="1145" spans="1:9" x14ac:dyDescent="0.2">
      <c r="A1145">
        <v>2022</v>
      </c>
      <c r="B1145">
        <v>9</v>
      </c>
      <c r="C1145" t="s">
        <v>55</v>
      </c>
      <c r="D1145" t="s">
        <v>66</v>
      </c>
      <c r="E1145" t="s">
        <v>63</v>
      </c>
      <c r="F1145" s="14">
        <v>15122570</v>
      </c>
      <c r="G1145" s="14">
        <v>8895630</v>
      </c>
      <c r="H1145">
        <f t="shared" si="34"/>
        <v>0</v>
      </c>
      <c r="I1145" s="20">
        <f t="shared" si="35"/>
        <v>44805</v>
      </c>
    </row>
    <row r="1146" spans="1:9" x14ac:dyDescent="0.2">
      <c r="A1146">
        <v>2022</v>
      </c>
      <c r="B1146">
        <v>9</v>
      </c>
      <c r="C1146" t="s">
        <v>64</v>
      </c>
      <c r="D1146" t="s">
        <v>66</v>
      </c>
      <c r="E1146" t="s">
        <v>68</v>
      </c>
      <c r="F1146" s="14">
        <v>9130925</v>
      </c>
      <c r="G1146" s="14">
        <v>9130925</v>
      </c>
      <c r="H1146">
        <f t="shared" si="34"/>
        <v>0</v>
      </c>
      <c r="I1146" s="20">
        <f t="shared" si="35"/>
        <v>44805</v>
      </c>
    </row>
    <row r="1147" spans="1:9" x14ac:dyDescent="0.2">
      <c r="A1147">
        <v>2022</v>
      </c>
      <c r="B1147">
        <v>9</v>
      </c>
      <c r="C1147" t="s">
        <v>55</v>
      </c>
      <c r="D1147" t="s">
        <v>66</v>
      </c>
      <c r="E1147" t="s">
        <v>67</v>
      </c>
      <c r="F1147" s="14">
        <v>7406428</v>
      </c>
      <c r="G1147" s="14">
        <v>4937616</v>
      </c>
      <c r="H1147">
        <f t="shared" si="34"/>
        <v>0</v>
      </c>
      <c r="I1147" s="20">
        <f t="shared" si="35"/>
        <v>44805</v>
      </c>
    </row>
    <row r="1148" spans="1:9" x14ac:dyDescent="0.2">
      <c r="A1148">
        <v>2022</v>
      </c>
      <c r="B1148">
        <v>9</v>
      </c>
      <c r="C1148" t="s">
        <v>55</v>
      </c>
      <c r="D1148" t="s">
        <v>66</v>
      </c>
      <c r="E1148" t="s">
        <v>68</v>
      </c>
      <c r="F1148" s="14">
        <v>2332869</v>
      </c>
      <c r="G1148" s="14">
        <v>2332869</v>
      </c>
      <c r="H1148">
        <f t="shared" si="34"/>
        <v>0</v>
      </c>
      <c r="I1148" s="20">
        <f t="shared" si="35"/>
        <v>44805</v>
      </c>
    </row>
    <row r="1149" spans="1:9" x14ac:dyDescent="0.2">
      <c r="A1149">
        <v>2022</v>
      </c>
      <c r="B1149">
        <v>9</v>
      </c>
      <c r="C1149" t="s">
        <v>55</v>
      </c>
      <c r="D1149" t="s">
        <v>66</v>
      </c>
      <c r="E1149" t="s">
        <v>74</v>
      </c>
      <c r="F1149" s="14">
        <v>708518</v>
      </c>
      <c r="G1149" s="14">
        <v>644107</v>
      </c>
      <c r="H1149">
        <f t="shared" si="34"/>
        <v>0</v>
      </c>
      <c r="I1149" s="20">
        <f t="shared" si="35"/>
        <v>44805</v>
      </c>
    </row>
    <row r="1150" spans="1:9" x14ac:dyDescent="0.2">
      <c r="A1150">
        <v>2022</v>
      </c>
      <c r="B1150">
        <v>9</v>
      </c>
      <c r="C1150" t="s">
        <v>55</v>
      </c>
      <c r="D1150" t="s">
        <v>66</v>
      </c>
      <c r="E1150" t="s">
        <v>75</v>
      </c>
      <c r="F1150" s="14">
        <v>265441</v>
      </c>
      <c r="G1150" s="14">
        <v>189601</v>
      </c>
      <c r="H1150">
        <f t="shared" si="34"/>
        <v>0</v>
      </c>
      <c r="I1150" s="20">
        <f t="shared" si="35"/>
        <v>44805</v>
      </c>
    </row>
    <row r="1151" spans="1:9" x14ac:dyDescent="0.2">
      <c r="A1151">
        <v>2022</v>
      </c>
      <c r="B1151">
        <v>9</v>
      </c>
      <c r="C1151" t="s">
        <v>55</v>
      </c>
      <c r="D1151" t="s">
        <v>66</v>
      </c>
      <c r="E1151" t="s">
        <v>69</v>
      </c>
      <c r="F1151" s="14">
        <v>172969</v>
      </c>
      <c r="G1151" s="14">
        <v>108106</v>
      </c>
      <c r="H1151">
        <f t="shared" si="34"/>
        <v>0</v>
      </c>
      <c r="I1151" s="20">
        <f t="shared" si="35"/>
        <v>44805</v>
      </c>
    </row>
    <row r="1152" spans="1:9" x14ac:dyDescent="0.2">
      <c r="A1152">
        <v>2022</v>
      </c>
      <c r="B1152">
        <v>9</v>
      </c>
      <c r="C1152" t="s">
        <v>55</v>
      </c>
      <c r="D1152" t="s">
        <v>66</v>
      </c>
      <c r="E1152" t="s">
        <v>59</v>
      </c>
      <c r="F1152" s="14">
        <v>71465</v>
      </c>
      <c r="G1152" s="14">
        <v>71465</v>
      </c>
      <c r="H1152">
        <f t="shared" si="34"/>
        <v>0</v>
      </c>
      <c r="I1152" s="20">
        <f t="shared" si="35"/>
        <v>44805</v>
      </c>
    </row>
    <row r="1153" spans="1:9" x14ac:dyDescent="0.2">
      <c r="A1153">
        <v>2022</v>
      </c>
      <c r="B1153">
        <v>9</v>
      </c>
      <c r="C1153" t="s">
        <v>55</v>
      </c>
      <c r="D1153" t="s">
        <v>70</v>
      </c>
      <c r="E1153" t="s">
        <v>68</v>
      </c>
      <c r="F1153" s="14">
        <v>1116140898</v>
      </c>
      <c r="G1153" s="14">
        <v>1116140898</v>
      </c>
      <c r="H1153">
        <f t="shared" si="34"/>
        <v>0</v>
      </c>
      <c r="I1153" s="20">
        <f t="shared" si="35"/>
        <v>44805</v>
      </c>
    </row>
    <row r="1154" spans="1:9" x14ac:dyDescent="0.2">
      <c r="A1154">
        <v>2022</v>
      </c>
      <c r="B1154">
        <v>9</v>
      </c>
      <c r="C1154" t="s">
        <v>62</v>
      </c>
      <c r="D1154" t="s">
        <v>70</v>
      </c>
      <c r="E1154" t="s">
        <v>63</v>
      </c>
      <c r="F1154" s="14">
        <v>13139069</v>
      </c>
      <c r="G1154" s="14">
        <v>7728864</v>
      </c>
      <c r="H1154">
        <f t="shared" si="34"/>
        <v>0</v>
      </c>
      <c r="I1154" s="20">
        <f t="shared" si="35"/>
        <v>44805</v>
      </c>
    </row>
    <row r="1155" spans="1:9" x14ac:dyDescent="0.2">
      <c r="A1155">
        <v>2022</v>
      </c>
      <c r="B1155">
        <v>9</v>
      </c>
      <c r="C1155" t="s">
        <v>64</v>
      </c>
      <c r="D1155" t="s">
        <v>70</v>
      </c>
      <c r="E1155" t="s">
        <v>68</v>
      </c>
      <c r="F1155" s="14">
        <v>1189662</v>
      </c>
      <c r="G1155" s="14">
        <v>1189662</v>
      </c>
      <c r="H1155">
        <f t="shared" ref="H1155:H1218" si="36">--ISNUMBER(SEARCH("Jet Fuel",E1155))</f>
        <v>0</v>
      </c>
      <c r="I1155" s="20">
        <f t="shared" ref="I1155:I1218" si="37">DATE(A1155,B1155,1)</f>
        <v>44805</v>
      </c>
    </row>
    <row r="1156" spans="1:9" x14ac:dyDescent="0.2">
      <c r="A1156">
        <v>2022</v>
      </c>
      <c r="B1156">
        <v>9</v>
      </c>
      <c r="C1156" t="s">
        <v>64</v>
      </c>
      <c r="D1156" t="s">
        <v>71</v>
      </c>
      <c r="E1156" t="s">
        <v>72</v>
      </c>
      <c r="F1156" s="14">
        <v>11086</v>
      </c>
      <c r="G1156" s="14">
        <v>11086</v>
      </c>
      <c r="H1156">
        <f t="shared" si="36"/>
        <v>0</v>
      </c>
      <c r="I1156" s="20">
        <f t="shared" si="37"/>
        <v>44805</v>
      </c>
    </row>
    <row r="1157" spans="1:9" x14ac:dyDescent="0.2">
      <c r="A1157">
        <v>2022</v>
      </c>
      <c r="B1157">
        <v>10</v>
      </c>
      <c r="C1157" t="s">
        <v>55</v>
      </c>
      <c r="D1157" t="s">
        <v>56</v>
      </c>
      <c r="E1157" t="s">
        <v>59</v>
      </c>
      <c r="F1157" s="14">
        <v>49626850</v>
      </c>
      <c r="G1157" s="14">
        <v>49626850</v>
      </c>
      <c r="H1157">
        <f t="shared" si="36"/>
        <v>0</v>
      </c>
      <c r="I1157" s="20">
        <f t="shared" si="37"/>
        <v>44835</v>
      </c>
    </row>
    <row r="1158" spans="1:9" x14ac:dyDescent="0.2">
      <c r="A1158">
        <v>2022</v>
      </c>
      <c r="B1158">
        <v>10</v>
      </c>
      <c r="C1158" t="s">
        <v>55</v>
      </c>
      <c r="D1158" t="s">
        <v>56</v>
      </c>
      <c r="E1158" t="s">
        <v>58</v>
      </c>
      <c r="F1158" s="14">
        <v>6787534</v>
      </c>
      <c r="G1158" s="14">
        <v>6787534</v>
      </c>
      <c r="H1158">
        <f t="shared" si="36"/>
        <v>0</v>
      </c>
      <c r="I1158" s="20">
        <f t="shared" si="37"/>
        <v>44835</v>
      </c>
    </row>
    <row r="1159" spans="1:9" x14ac:dyDescent="0.2">
      <c r="A1159">
        <v>2022</v>
      </c>
      <c r="B1159">
        <v>10</v>
      </c>
      <c r="C1159" t="s">
        <v>64</v>
      </c>
      <c r="D1159" t="s">
        <v>56</v>
      </c>
      <c r="E1159" t="s">
        <v>59</v>
      </c>
      <c r="F1159" s="14">
        <v>2019647</v>
      </c>
      <c r="G1159" s="14">
        <v>2019647</v>
      </c>
      <c r="H1159">
        <f t="shared" si="36"/>
        <v>0</v>
      </c>
      <c r="I1159" s="20">
        <f t="shared" si="37"/>
        <v>44835</v>
      </c>
    </row>
    <row r="1160" spans="1:9" x14ac:dyDescent="0.2">
      <c r="A1160">
        <v>2022</v>
      </c>
      <c r="B1160">
        <v>10</v>
      </c>
      <c r="C1160" t="s">
        <v>64</v>
      </c>
      <c r="D1160" t="s">
        <v>56</v>
      </c>
      <c r="E1160" t="s">
        <v>58</v>
      </c>
      <c r="F1160" s="14">
        <v>1231457</v>
      </c>
      <c r="G1160" s="14">
        <v>1231457</v>
      </c>
      <c r="H1160">
        <f t="shared" si="36"/>
        <v>0</v>
      </c>
      <c r="I1160" s="20">
        <f t="shared" si="37"/>
        <v>44835</v>
      </c>
    </row>
    <row r="1161" spans="1:9" x14ac:dyDescent="0.2">
      <c r="A1161">
        <v>2022</v>
      </c>
      <c r="B1161">
        <v>10</v>
      </c>
      <c r="C1161" t="s">
        <v>55</v>
      </c>
      <c r="D1161" t="s">
        <v>56</v>
      </c>
      <c r="E1161" t="s">
        <v>57</v>
      </c>
      <c r="F1161" s="14">
        <v>28784</v>
      </c>
      <c r="G1161" s="14">
        <v>28784</v>
      </c>
      <c r="H1161">
        <f t="shared" si="36"/>
        <v>0</v>
      </c>
      <c r="I1161" s="20">
        <f t="shared" si="37"/>
        <v>44835</v>
      </c>
    </row>
    <row r="1162" spans="1:9" x14ac:dyDescent="0.2">
      <c r="A1162">
        <v>2022</v>
      </c>
      <c r="B1162">
        <v>10</v>
      </c>
      <c r="C1162" t="s">
        <v>55</v>
      </c>
      <c r="D1162" t="s">
        <v>60</v>
      </c>
      <c r="E1162" t="s">
        <v>61</v>
      </c>
      <c r="F1162" s="14">
        <v>207062845</v>
      </c>
      <c r="G1162" s="14">
        <v>138040230</v>
      </c>
      <c r="H1162">
        <f t="shared" si="36"/>
        <v>0</v>
      </c>
      <c r="I1162" s="20">
        <f t="shared" si="37"/>
        <v>44835</v>
      </c>
    </row>
    <row r="1163" spans="1:9" x14ac:dyDescent="0.2">
      <c r="A1163">
        <v>2022</v>
      </c>
      <c r="B1163">
        <v>10</v>
      </c>
      <c r="C1163" t="s">
        <v>55</v>
      </c>
      <c r="D1163" t="s">
        <v>60</v>
      </c>
      <c r="E1163" t="s">
        <v>63</v>
      </c>
      <c r="F1163" s="14">
        <v>182443495</v>
      </c>
      <c r="G1163" s="14">
        <v>107319656</v>
      </c>
      <c r="H1163">
        <f t="shared" si="36"/>
        <v>0</v>
      </c>
      <c r="I1163" s="20">
        <f t="shared" si="37"/>
        <v>44835</v>
      </c>
    </row>
    <row r="1164" spans="1:9" x14ac:dyDescent="0.2">
      <c r="A1164">
        <v>2022</v>
      </c>
      <c r="B1164">
        <v>10</v>
      </c>
      <c r="C1164" t="s">
        <v>62</v>
      </c>
      <c r="D1164" t="s">
        <v>60</v>
      </c>
      <c r="E1164" t="s">
        <v>63</v>
      </c>
      <c r="F1164" s="14">
        <v>54286238</v>
      </c>
      <c r="G1164" s="14">
        <v>31933081</v>
      </c>
      <c r="H1164">
        <f t="shared" si="36"/>
        <v>0</v>
      </c>
      <c r="I1164" s="20">
        <f t="shared" si="37"/>
        <v>44835</v>
      </c>
    </row>
    <row r="1165" spans="1:9" x14ac:dyDescent="0.2">
      <c r="A1165">
        <v>2022</v>
      </c>
      <c r="B1165">
        <v>10</v>
      </c>
      <c r="C1165" t="s">
        <v>64</v>
      </c>
      <c r="D1165" t="s">
        <v>60</v>
      </c>
      <c r="E1165" t="s">
        <v>61</v>
      </c>
      <c r="F1165" s="14">
        <v>25996486</v>
      </c>
      <c r="G1165" s="14">
        <v>17330959</v>
      </c>
      <c r="H1165">
        <f t="shared" si="36"/>
        <v>0</v>
      </c>
      <c r="I1165" s="20">
        <f t="shared" si="37"/>
        <v>44835</v>
      </c>
    </row>
    <row r="1166" spans="1:9" x14ac:dyDescent="0.2">
      <c r="A1166">
        <v>2022</v>
      </c>
      <c r="B1166">
        <v>10</v>
      </c>
      <c r="C1166" t="s">
        <v>62</v>
      </c>
      <c r="D1166" t="s">
        <v>60</v>
      </c>
      <c r="E1166" t="s">
        <v>76</v>
      </c>
      <c r="F1166" s="14">
        <v>3547656</v>
      </c>
      <c r="G1166" s="14">
        <v>2217285</v>
      </c>
      <c r="H1166">
        <f t="shared" si="36"/>
        <v>0</v>
      </c>
      <c r="I1166" s="20">
        <f t="shared" si="37"/>
        <v>44835</v>
      </c>
    </row>
    <row r="1167" spans="1:9" x14ac:dyDescent="0.2">
      <c r="A1167">
        <v>2022</v>
      </c>
      <c r="B1167">
        <v>10</v>
      </c>
      <c r="C1167" t="s">
        <v>55</v>
      </c>
      <c r="D1167" t="s">
        <v>60</v>
      </c>
      <c r="E1167" t="s">
        <v>65</v>
      </c>
      <c r="F1167" s="14">
        <v>2823410</v>
      </c>
      <c r="G1167" s="14">
        <v>1764631</v>
      </c>
      <c r="H1167">
        <f t="shared" si="36"/>
        <v>1</v>
      </c>
      <c r="I1167" s="20">
        <f t="shared" si="37"/>
        <v>44835</v>
      </c>
    </row>
    <row r="1168" spans="1:9" x14ac:dyDescent="0.2">
      <c r="A1168">
        <v>2022</v>
      </c>
      <c r="B1168">
        <v>10</v>
      </c>
      <c r="C1168" t="s">
        <v>55</v>
      </c>
      <c r="D1168" t="s">
        <v>60</v>
      </c>
      <c r="E1168" t="s">
        <v>76</v>
      </c>
      <c r="F1168" s="14">
        <v>1070683</v>
      </c>
      <c r="G1168" s="14">
        <v>669177</v>
      </c>
      <c r="H1168">
        <f t="shared" si="36"/>
        <v>0</v>
      </c>
      <c r="I1168" s="20">
        <f t="shared" si="37"/>
        <v>44835</v>
      </c>
    </row>
    <row r="1169" spans="1:9" x14ac:dyDescent="0.2">
      <c r="A1169">
        <v>2022</v>
      </c>
      <c r="B1169">
        <v>10</v>
      </c>
      <c r="C1169" t="s">
        <v>64</v>
      </c>
      <c r="D1169" t="s">
        <v>66</v>
      </c>
      <c r="E1169" t="s">
        <v>68</v>
      </c>
      <c r="F1169" s="14">
        <v>17831309</v>
      </c>
      <c r="G1169" s="14">
        <v>17831309</v>
      </c>
      <c r="H1169">
        <f t="shared" si="36"/>
        <v>0</v>
      </c>
      <c r="I1169" s="20">
        <f t="shared" si="37"/>
        <v>44835</v>
      </c>
    </row>
    <row r="1170" spans="1:9" x14ac:dyDescent="0.2">
      <c r="A1170">
        <v>2022</v>
      </c>
      <c r="B1170">
        <v>10</v>
      </c>
      <c r="C1170" t="s">
        <v>55</v>
      </c>
      <c r="D1170" t="s">
        <v>66</v>
      </c>
      <c r="E1170" t="s">
        <v>63</v>
      </c>
      <c r="F1170" s="14">
        <v>9674462</v>
      </c>
      <c r="G1170" s="14">
        <v>5690860</v>
      </c>
      <c r="H1170">
        <f t="shared" si="36"/>
        <v>0</v>
      </c>
      <c r="I1170" s="20">
        <f t="shared" si="37"/>
        <v>44835</v>
      </c>
    </row>
    <row r="1171" spans="1:9" x14ac:dyDescent="0.2">
      <c r="A1171">
        <v>2022</v>
      </c>
      <c r="B1171">
        <v>10</v>
      </c>
      <c r="C1171" t="s">
        <v>55</v>
      </c>
      <c r="D1171" t="s">
        <v>66</v>
      </c>
      <c r="E1171" t="s">
        <v>67</v>
      </c>
      <c r="F1171" s="14">
        <v>8958344</v>
      </c>
      <c r="G1171" s="14">
        <v>5972224</v>
      </c>
      <c r="H1171">
        <f t="shared" si="36"/>
        <v>0</v>
      </c>
      <c r="I1171" s="20">
        <f t="shared" si="37"/>
        <v>44835</v>
      </c>
    </row>
    <row r="1172" spans="1:9" x14ac:dyDescent="0.2">
      <c r="A1172">
        <v>2022</v>
      </c>
      <c r="B1172">
        <v>10</v>
      </c>
      <c r="C1172" t="s">
        <v>55</v>
      </c>
      <c r="D1172" t="s">
        <v>66</v>
      </c>
      <c r="E1172" t="s">
        <v>68</v>
      </c>
      <c r="F1172" s="14">
        <v>2374934</v>
      </c>
      <c r="G1172" s="14">
        <v>2374934</v>
      </c>
      <c r="H1172">
        <f t="shared" si="36"/>
        <v>0</v>
      </c>
      <c r="I1172" s="20">
        <f t="shared" si="37"/>
        <v>44835</v>
      </c>
    </row>
    <row r="1173" spans="1:9" x14ac:dyDescent="0.2">
      <c r="A1173">
        <v>2022</v>
      </c>
      <c r="B1173">
        <v>10</v>
      </c>
      <c r="C1173" t="s">
        <v>55</v>
      </c>
      <c r="D1173" t="s">
        <v>66</v>
      </c>
      <c r="E1173" t="s">
        <v>74</v>
      </c>
      <c r="F1173" s="14">
        <v>302221</v>
      </c>
      <c r="G1173" s="14">
        <v>274746</v>
      </c>
      <c r="H1173">
        <f t="shared" si="36"/>
        <v>0</v>
      </c>
      <c r="I1173" s="20">
        <f t="shared" si="37"/>
        <v>44835</v>
      </c>
    </row>
    <row r="1174" spans="1:9" x14ac:dyDescent="0.2">
      <c r="A1174">
        <v>2022</v>
      </c>
      <c r="B1174">
        <v>10</v>
      </c>
      <c r="C1174" t="s">
        <v>55</v>
      </c>
      <c r="D1174" t="s">
        <v>66</v>
      </c>
      <c r="E1174" t="s">
        <v>69</v>
      </c>
      <c r="F1174" s="14">
        <v>239107</v>
      </c>
      <c r="G1174" s="14">
        <v>149442</v>
      </c>
      <c r="H1174">
        <f t="shared" si="36"/>
        <v>0</v>
      </c>
      <c r="I1174" s="20">
        <f t="shared" si="37"/>
        <v>44835</v>
      </c>
    </row>
    <row r="1175" spans="1:9" x14ac:dyDescent="0.2">
      <c r="A1175">
        <v>2022</v>
      </c>
      <c r="B1175">
        <v>10</v>
      </c>
      <c r="C1175" t="s">
        <v>55</v>
      </c>
      <c r="D1175" t="s">
        <v>66</v>
      </c>
      <c r="E1175" t="s">
        <v>59</v>
      </c>
      <c r="F1175" s="14">
        <v>70406</v>
      </c>
      <c r="G1175" s="14">
        <v>70406</v>
      </c>
      <c r="H1175">
        <f t="shared" si="36"/>
        <v>0</v>
      </c>
      <c r="I1175" s="20">
        <f t="shared" si="37"/>
        <v>44835</v>
      </c>
    </row>
    <row r="1176" spans="1:9" x14ac:dyDescent="0.2">
      <c r="A1176">
        <v>2022</v>
      </c>
      <c r="B1176">
        <v>10</v>
      </c>
      <c r="C1176" t="s">
        <v>55</v>
      </c>
      <c r="D1176" t="s">
        <v>70</v>
      </c>
      <c r="E1176" t="s">
        <v>68</v>
      </c>
      <c r="F1176" s="14">
        <v>1214405352</v>
      </c>
      <c r="G1176" s="14">
        <v>1214405352</v>
      </c>
      <c r="H1176">
        <f t="shared" si="36"/>
        <v>0</v>
      </c>
      <c r="I1176" s="20">
        <f t="shared" si="37"/>
        <v>44835</v>
      </c>
    </row>
    <row r="1177" spans="1:9" x14ac:dyDescent="0.2">
      <c r="A1177">
        <v>2022</v>
      </c>
      <c r="B1177">
        <v>10</v>
      </c>
      <c r="C1177" t="s">
        <v>62</v>
      </c>
      <c r="D1177" t="s">
        <v>70</v>
      </c>
      <c r="E1177" t="s">
        <v>63</v>
      </c>
      <c r="F1177" s="14">
        <v>22296878</v>
      </c>
      <c r="G1177" s="14">
        <v>13115811</v>
      </c>
      <c r="H1177">
        <f t="shared" si="36"/>
        <v>0</v>
      </c>
      <c r="I1177" s="20">
        <f t="shared" si="37"/>
        <v>44835</v>
      </c>
    </row>
    <row r="1178" spans="1:9" x14ac:dyDescent="0.2">
      <c r="A1178">
        <v>2022</v>
      </c>
      <c r="B1178">
        <v>10</v>
      </c>
      <c r="C1178" t="s">
        <v>64</v>
      </c>
      <c r="D1178" t="s">
        <v>70</v>
      </c>
      <c r="E1178" t="s">
        <v>68</v>
      </c>
      <c r="F1178" s="14">
        <v>1222050</v>
      </c>
      <c r="G1178" s="14">
        <v>1222050</v>
      </c>
      <c r="H1178">
        <f t="shared" si="36"/>
        <v>0</v>
      </c>
      <c r="I1178" s="20">
        <f t="shared" si="37"/>
        <v>44835</v>
      </c>
    </row>
    <row r="1179" spans="1:9" x14ac:dyDescent="0.2">
      <c r="A1179">
        <v>2022</v>
      </c>
      <c r="B1179">
        <v>11</v>
      </c>
      <c r="C1179" t="s">
        <v>55</v>
      </c>
      <c r="D1179" t="s">
        <v>56</v>
      </c>
      <c r="E1179" t="s">
        <v>59</v>
      </c>
      <c r="F1179" s="14">
        <v>48964891</v>
      </c>
      <c r="G1179" s="14">
        <v>48964891</v>
      </c>
      <c r="H1179">
        <f t="shared" si="36"/>
        <v>0</v>
      </c>
      <c r="I1179" s="20">
        <f t="shared" si="37"/>
        <v>44866</v>
      </c>
    </row>
    <row r="1180" spans="1:9" x14ac:dyDescent="0.2">
      <c r="A1180">
        <v>2022</v>
      </c>
      <c r="B1180">
        <v>11</v>
      </c>
      <c r="C1180" t="s">
        <v>55</v>
      </c>
      <c r="D1180" t="s">
        <v>56</v>
      </c>
      <c r="E1180" t="s">
        <v>58</v>
      </c>
      <c r="F1180" s="14">
        <v>6863778</v>
      </c>
      <c r="G1180" s="14">
        <v>6863778</v>
      </c>
      <c r="H1180">
        <f t="shared" si="36"/>
        <v>0</v>
      </c>
      <c r="I1180" s="20">
        <f t="shared" si="37"/>
        <v>44866</v>
      </c>
    </row>
    <row r="1181" spans="1:9" x14ac:dyDescent="0.2">
      <c r="A1181">
        <v>2022</v>
      </c>
      <c r="B1181">
        <v>11</v>
      </c>
      <c r="C1181" t="s">
        <v>64</v>
      </c>
      <c r="D1181" t="s">
        <v>56</v>
      </c>
      <c r="E1181" t="s">
        <v>59</v>
      </c>
      <c r="F1181" s="14">
        <v>3288585</v>
      </c>
      <c r="G1181" s="14">
        <v>3288585</v>
      </c>
      <c r="H1181">
        <f t="shared" si="36"/>
        <v>0</v>
      </c>
      <c r="I1181" s="20">
        <f t="shared" si="37"/>
        <v>44866</v>
      </c>
    </row>
    <row r="1182" spans="1:9" x14ac:dyDescent="0.2">
      <c r="A1182">
        <v>2022</v>
      </c>
      <c r="B1182">
        <v>11</v>
      </c>
      <c r="C1182" t="s">
        <v>64</v>
      </c>
      <c r="D1182" t="s">
        <v>56</v>
      </c>
      <c r="E1182" t="s">
        <v>58</v>
      </c>
      <c r="F1182" s="14">
        <v>125974</v>
      </c>
      <c r="G1182" s="14">
        <v>125974</v>
      </c>
      <c r="H1182">
        <f t="shared" si="36"/>
        <v>0</v>
      </c>
      <c r="I1182" s="20">
        <f t="shared" si="37"/>
        <v>44866</v>
      </c>
    </row>
    <row r="1183" spans="1:9" x14ac:dyDescent="0.2">
      <c r="A1183">
        <v>2022</v>
      </c>
      <c r="B1183">
        <v>11</v>
      </c>
      <c r="C1183" t="s">
        <v>55</v>
      </c>
      <c r="D1183" t="s">
        <v>60</v>
      </c>
      <c r="E1183" t="s">
        <v>63</v>
      </c>
      <c r="F1183" s="14">
        <v>254280115</v>
      </c>
      <c r="G1183" s="14">
        <v>149576473</v>
      </c>
      <c r="H1183">
        <f t="shared" si="36"/>
        <v>0</v>
      </c>
      <c r="I1183" s="20">
        <f t="shared" si="37"/>
        <v>44866</v>
      </c>
    </row>
    <row r="1184" spans="1:9" x14ac:dyDescent="0.2">
      <c r="A1184">
        <v>2022</v>
      </c>
      <c r="B1184">
        <v>11</v>
      </c>
      <c r="C1184" t="s">
        <v>55</v>
      </c>
      <c r="D1184" t="s">
        <v>60</v>
      </c>
      <c r="E1184" t="s">
        <v>61</v>
      </c>
      <c r="F1184" s="14">
        <v>211945708</v>
      </c>
      <c r="G1184" s="14">
        <v>141295576</v>
      </c>
      <c r="H1184">
        <f t="shared" si="36"/>
        <v>0</v>
      </c>
      <c r="I1184" s="20">
        <f t="shared" si="37"/>
        <v>44866</v>
      </c>
    </row>
    <row r="1185" spans="1:9" x14ac:dyDescent="0.2">
      <c r="A1185">
        <v>2022</v>
      </c>
      <c r="B1185">
        <v>11</v>
      </c>
      <c r="C1185" t="s">
        <v>64</v>
      </c>
      <c r="D1185" t="s">
        <v>60</v>
      </c>
      <c r="E1185" t="s">
        <v>61</v>
      </c>
      <c r="F1185" s="14">
        <v>50726138</v>
      </c>
      <c r="G1185" s="14">
        <v>33817396</v>
      </c>
      <c r="H1185">
        <f t="shared" si="36"/>
        <v>0</v>
      </c>
      <c r="I1185" s="20">
        <f t="shared" si="37"/>
        <v>44866</v>
      </c>
    </row>
    <row r="1186" spans="1:9" x14ac:dyDescent="0.2">
      <c r="A1186">
        <v>2022</v>
      </c>
      <c r="B1186">
        <v>11</v>
      </c>
      <c r="C1186" t="s">
        <v>62</v>
      </c>
      <c r="D1186" t="s">
        <v>60</v>
      </c>
      <c r="E1186" t="s">
        <v>63</v>
      </c>
      <c r="F1186" s="14">
        <v>39155652</v>
      </c>
      <c r="G1186" s="14">
        <v>23032737</v>
      </c>
      <c r="H1186">
        <f t="shared" si="36"/>
        <v>0</v>
      </c>
      <c r="I1186" s="20">
        <f t="shared" si="37"/>
        <v>44866</v>
      </c>
    </row>
    <row r="1187" spans="1:9" x14ac:dyDescent="0.2">
      <c r="A1187">
        <v>2022</v>
      </c>
      <c r="B1187">
        <v>11</v>
      </c>
      <c r="C1187" t="s">
        <v>55</v>
      </c>
      <c r="D1187" t="s">
        <v>60</v>
      </c>
      <c r="E1187" t="s">
        <v>76</v>
      </c>
      <c r="F1187" s="14">
        <v>22574898</v>
      </c>
      <c r="G1187" s="14">
        <v>14109311</v>
      </c>
      <c r="H1187">
        <f t="shared" si="36"/>
        <v>0</v>
      </c>
      <c r="I1187" s="20">
        <f t="shared" si="37"/>
        <v>44866</v>
      </c>
    </row>
    <row r="1188" spans="1:9" x14ac:dyDescent="0.2">
      <c r="A1188">
        <v>2022</v>
      </c>
      <c r="B1188">
        <v>11</v>
      </c>
      <c r="C1188" t="s">
        <v>62</v>
      </c>
      <c r="D1188" t="s">
        <v>60</v>
      </c>
      <c r="E1188" t="s">
        <v>76</v>
      </c>
      <c r="F1188" s="14">
        <v>3224832</v>
      </c>
      <c r="G1188" s="14">
        <v>2015520</v>
      </c>
      <c r="H1188">
        <f t="shared" si="36"/>
        <v>0</v>
      </c>
      <c r="I1188" s="20">
        <f t="shared" si="37"/>
        <v>44866</v>
      </c>
    </row>
    <row r="1189" spans="1:9" x14ac:dyDescent="0.2">
      <c r="A1189">
        <v>2022</v>
      </c>
      <c r="B1189">
        <v>11</v>
      </c>
      <c r="C1189" t="s">
        <v>55</v>
      </c>
      <c r="D1189" t="s">
        <v>60</v>
      </c>
      <c r="E1189" t="s">
        <v>65</v>
      </c>
      <c r="F1189" s="14">
        <v>243562</v>
      </c>
      <c r="G1189" s="14">
        <v>152226</v>
      </c>
      <c r="H1189">
        <f t="shared" si="36"/>
        <v>1</v>
      </c>
      <c r="I1189" s="20">
        <f t="shared" si="37"/>
        <v>44866</v>
      </c>
    </row>
    <row r="1190" spans="1:9" x14ac:dyDescent="0.2">
      <c r="A1190">
        <v>2022</v>
      </c>
      <c r="B1190">
        <v>11</v>
      </c>
      <c r="C1190" t="s">
        <v>55</v>
      </c>
      <c r="D1190" t="s">
        <v>60</v>
      </c>
      <c r="E1190" t="s">
        <v>69</v>
      </c>
      <c r="F1190" s="14">
        <v>41398</v>
      </c>
      <c r="G1190" s="14">
        <v>25874</v>
      </c>
      <c r="H1190">
        <f t="shared" si="36"/>
        <v>0</v>
      </c>
      <c r="I1190" s="20">
        <f t="shared" si="37"/>
        <v>44866</v>
      </c>
    </row>
    <row r="1191" spans="1:9" x14ac:dyDescent="0.2">
      <c r="A1191">
        <v>2022</v>
      </c>
      <c r="B1191">
        <v>11</v>
      </c>
      <c r="C1191" t="s">
        <v>55</v>
      </c>
      <c r="D1191" t="s">
        <v>66</v>
      </c>
      <c r="E1191" t="s">
        <v>63</v>
      </c>
      <c r="F1191" s="14">
        <v>13773827</v>
      </c>
      <c r="G1191" s="14">
        <v>8102250</v>
      </c>
      <c r="H1191">
        <f t="shared" si="36"/>
        <v>0</v>
      </c>
      <c r="I1191" s="20">
        <f t="shared" si="37"/>
        <v>44866</v>
      </c>
    </row>
    <row r="1192" spans="1:9" x14ac:dyDescent="0.2">
      <c r="A1192">
        <v>2022</v>
      </c>
      <c r="B1192">
        <v>11</v>
      </c>
      <c r="C1192" t="s">
        <v>55</v>
      </c>
      <c r="D1192" t="s">
        <v>66</v>
      </c>
      <c r="E1192" t="s">
        <v>67</v>
      </c>
      <c r="F1192" s="14">
        <v>10838894</v>
      </c>
      <c r="G1192" s="14">
        <v>7225923</v>
      </c>
      <c r="H1192">
        <f t="shared" si="36"/>
        <v>0</v>
      </c>
      <c r="I1192" s="20">
        <f t="shared" si="37"/>
        <v>44866</v>
      </c>
    </row>
    <row r="1193" spans="1:9" x14ac:dyDescent="0.2">
      <c r="A1193">
        <v>2022</v>
      </c>
      <c r="B1193">
        <v>11</v>
      </c>
      <c r="C1193" t="s">
        <v>64</v>
      </c>
      <c r="D1193" t="s">
        <v>66</v>
      </c>
      <c r="E1193" t="s">
        <v>68</v>
      </c>
      <c r="F1193" s="14">
        <v>9712376</v>
      </c>
      <c r="G1193" s="14">
        <v>9712376</v>
      </c>
      <c r="H1193">
        <f t="shared" si="36"/>
        <v>0</v>
      </c>
      <c r="I1193" s="20">
        <f t="shared" si="37"/>
        <v>44866</v>
      </c>
    </row>
    <row r="1194" spans="1:9" x14ac:dyDescent="0.2">
      <c r="A1194">
        <v>2022</v>
      </c>
      <c r="B1194">
        <v>11</v>
      </c>
      <c r="C1194" t="s">
        <v>55</v>
      </c>
      <c r="D1194" t="s">
        <v>66</v>
      </c>
      <c r="E1194" t="s">
        <v>68</v>
      </c>
      <c r="F1194" s="14">
        <v>2172050</v>
      </c>
      <c r="G1194" s="14">
        <v>2172050</v>
      </c>
      <c r="H1194">
        <f t="shared" si="36"/>
        <v>0</v>
      </c>
      <c r="I1194" s="20">
        <f t="shared" si="37"/>
        <v>44866</v>
      </c>
    </row>
    <row r="1195" spans="1:9" x14ac:dyDescent="0.2">
      <c r="A1195">
        <v>2022</v>
      </c>
      <c r="B1195">
        <v>11</v>
      </c>
      <c r="C1195" t="s">
        <v>55</v>
      </c>
      <c r="D1195" t="s">
        <v>66</v>
      </c>
      <c r="E1195" t="s">
        <v>69</v>
      </c>
      <c r="F1195" s="14">
        <v>355058</v>
      </c>
      <c r="G1195" s="14">
        <v>221910</v>
      </c>
      <c r="H1195">
        <f t="shared" si="36"/>
        <v>0</v>
      </c>
      <c r="I1195" s="20">
        <f t="shared" si="37"/>
        <v>44866</v>
      </c>
    </row>
    <row r="1196" spans="1:9" x14ac:dyDescent="0.2">
      <c r="A1196">
        <v>2022</v>
      </c>
      <c r="B1196">
        <v>11</v>
      </c>
      <c r="C1196" t="s">
        <v>55</v>
      </c>
      <c r="D1196" t="s">
        <v>66</v>
      </c>
      <c r="E1196" t="s">
        <v>74</v>
      </c>
      <c r="F1196" s="14">
        <v>185067</v>
      </c>
      <c r="G1196" s="14">
        <v>168243</v>
      </c>
      <c r="H1196">
        <f t="shared" si="36"/>
        <v>0</v>
      </c>
      <c r="I1196" s="20">
        <f t="shared" si="37"/>
        <v>44866</v>
      </c>
    </row>
    <row r="1197" spans="1:9" x14ac:dyDescent="0.2">
      <c r="A1197">
        <v>2022</v>
      </c>
      <c r="B1197">
        <v>11</v>
      </c>
      <c r="C1197" t="s">
        <v>55</v>
      </c>
      <c r="D1197" t="s">
        <v>66</v>
      </c>
      <c r="E1197" t="s">
        <v>59</v>
      </c>
      <c r="F1197" s="14">
        <v>61227</v>
      </c>
      <c r="G1197" s="14">
        <v>61227</v>
      </c>
      <c r="H1197">
        <f t="shared" si="36"/>
        <v>0</v>
      </c>
      <c r="I1197" s="20">
        <f t="shared" si="37"/>
        <v>44866</v>
      </c>
    </row>
    <row r="1198" spans="1:9" x14ac:dyDescent="0.2">
      <c r="A1198">
        <v>2022</v>
      </c>
      <c r="B1198">
        <v>11</v>
      </c>
      <c r="C1198" t="s">
        <v>55</v>
      </c>
      <c r="D1198" t="s">
        <v>66</v>
      </c>
      <c r="E1198" t="s">
        <v>75</v>
      </c>
      <c r="F1198" s="14">
        <v>35325</v>
      </c>
      <c r="G1198" s="14">
        <v>25232</v>
      </c>
      <c r="H1198">
        <f t="shared" si="36"/>
        <v>0</v>
      </c>
      <c r="I1198" s="20">
        <f t="shared" si="37"/>
        <v>44866</v>
      </c>
    </row>
    <row r="1199" spans="1:9" x14ac:dyDescent="0.2">
      <c r="A1199">
        <v>2022</v>
      </c>
      <c r="B1199">
        <v>11</v>
      </c>
      <c r="C1199" t="s">
        <v>55</v>
      </c>
      <c r="D1199" t="s">
        <v>70</v>
      </c>
      <c r="E1199" t="s">
        <v>68</v>
      </c>
      <c r="F1199" s="14">
        <v>1250759684</v>
      </c>
      <c r="G1199" s="14">
        <v>1250759684</v>
      </c>
      <c r="H1199">
        <f t="shared" si="36"/>
        <v>0</v>
      </c>
      <c r="I1199" s="20">
        <f t="shared" si="37"/>
        <v>44866</v>
      </c>
    </row>
    <row r="1200" spans="1:9" x14ac:dyDescent="0.2">
      <c r="A1200">
        <v>2022</v>
      </c>
      <c r="B1200">
        <v>11</v>
      </c>
      <c r="C1200" t="s">
        <v>62</v>
      </c>
      <c r="D1200" t="s">
        <v>70</v>
      </c>
      <c r="E1200" t="s">
        <v>63</v>
      </c>
      <c r="F1200" s="14">
        <v>16742264</v>
      </c>
      <c r="G1200" s="14">
        <v>9848391</v>
      </c>
      <c r="H1200">
        <f t="shared" si="36"/>
        <v>0</v>
      </c>
      <c r="I1200" s="20">
        <f t="shared" si="37"/>
        <v>44866</v>
      </c>
    </row>
    <row r="1201" spans="1:9" x14ac:dyDescent="0.2">
      <c r="A1201">
        <v>2022</v>
      </c>
      <c r="B1201">
        <v>11</v>
      </c>
      <c r="C1201" t="s">
        <v>64</v>
      </c>
      <c r="D1201" t="s">
        <v>70</v>
      </c>
      <c r="E1201" t="s">
        <v>68</v>
      </c>
      <c r="F1201" s="14">
        <v>1189598</v>
      </c>
      <c r="G1201" s="14">
        <v>1189598</v>
      </c>
      <c r="H1201">
        <f t="shared" si="36"/>
        <v>0</v>
      </c>
      <c r="I1201" s="20">
        <f t="shared" si="37"/>
        <v>44866</v>
      </c>
    </row>
    <row r="1202" spans="1:9" x14ac:dyDescent="0.2">
      <c r="A1202">
        <v>2022</v>
      </c>
      <c r="B1202">
        <v>12</v>
      </c>
      <c r="C1202" t="s">
        <v>55</v>
      </c>
      <c r="D1202" t="s">
        <v>56</v>
      </c>
      <c r="E1202" t="s">
        <v>59</v>
      </c>
      <c r="F1202" s="14">
        <v>96326322</v>
      </c>
      <c r="G1202" s="14">
        <v>96326322</v>
      </c>
      <c r="H1202">
        <f t="shared" si="36"/>
        <v>0</v>
      </c>
      <c r="I1202" s="20">
        <f t="shared" si="37"/>
        <v>44896</v>
      </c>
    </row>
    <row r="1203" spans="1:9" x14ac:dyDescent="0.2">
      <c r="A1203">
        <v>2022</v>
      </c>
      <c r="B1203">
        <v>12</v>
      </c>
      <c r="C1203" t="s">
        <v>55</v>
      </c>
      <c r="D1203" t="s">
        <v>56</v>
      </c>
      <c r="E1203" t="s">
        <v>58</v>
      </c>
      <c r="F1203" s="14">
        <v>13543812</v>
      </c>
      <c r="G1203" s="14">
        <v>13543812</v>
      </c>
      <c r="H1203">
        <f t="shared" si="36"/>
        <v>0</v>
      </c>
      <c r="I1203" s="20">
        <f t="shared" si="37"/>
        <v>44896</v>
      </c>
    </row>
    <row r="1204" spans="1:9" x14ac:dyDescent="0.2">
      <c r="A1204">
        <v>2022</v>
      </c>
      <c r="B1204">
        <v>12</v>
      </c>
      <c r="C1204" t="s">
        <v>64</v>
      </c>
      <c r="D1204" t="s">
        <v>56</v>
      </c>
      <c r="E1204" t="s">
        <v>59</v>
      </c>
      <c r="F1204" s="14">
        <v>4463342</v>
      </c>
      <c r="G1204" s="14">
        <v>4463342</v>
      </c>
      <c r="H1204">
        <f t="shared" si="36"/>
        <v>0</v>
      </c>
      <c r="I1204" s="20">
        <f t="shared" si="37"/>
        <v>44896</v>
      </c>
    </row>
    <row r="1205" spans="1:9" x14ac:dyDescent="0.2">
      <c r="A1205">
        <v>2022</v>
      </c>
      <c r="B1205">
        <v>12</v>
      </c>
      <c r="C1205" t="s">
        <v>64</v>
      </c>
      <c r="D1205" t="s">
        <v>56</v>
      </c>
      <c r="E1205" t="s">
        <v>58</v>
      </c>
      <c r="F1205" s="14">
        <v>1929277</v>
      </c>
      <c r="G1205" s="14">
        <v>1929277</v>
      </c>
      <c r="H1205">
        <f t="shared" si="36"/>
        <v>0</v>
      </c>
      <c r="I1205" s="20">
        <f t="shared" si="37"/>
        <v>44896</v>
      </c>
    </row>
    <row r="1206" spans="1:9" x14ac:dyDescent="0.2">
      <c r="A1206">
        <v>2022</v>
      </c>
      <c r="B1206">
        <v>12</v>
      </c>
      <c r="C1206" t="s">
        <v>55</v>
      </c>
      <c r="D1206" t="s">
        <v>56</v>
      </c>
      <c r="E1206" t="s">
        <v>57</v>
      </c>
      <c r="F1206" s="14">
        <v>277529</v>
      </c>
      <c r="G1206" s="14">
        <v>277529</v>
      </c>
      <c r="H1206">
        <f t="shared" si="36"/>
        <v>0</v>
      </c>
      <c r="I1206" s="20">
        <f t="shared" si="37"/>
        <v>44896</v>
      </c>
    </row>
    <row r="1207" spans="1:9" x14ac:dyDescent="0.2">
      <c r="A1207">
        <v>2022</v>
      </c>
      <c r="B1207">
        <v>12</v>
      </c>
      <c r="C1207" t="s">
        <v>55</v>
      </c>
      <c r="D1207" t="s">
        <v>60</v>
      </c>
      <c r="E1207" t="s">
        <v>61</v>
      </c>
      <c r="F1207" s="14">
        <v>218400647</v>
      </c>
      <c r="G1207" s="14">
        <v>145599073</v>
      </c>
      <c r="H1207">
        <f t="shared" si="36"/>
        <v>0</v>
      </c>
      <c r="I1207" s="20">
        <f t="shared" si="37"/>
        <v>44896</v>
      </c>
    </row>
    <row r="1208" spans="1:9" x14ac:dyDescent="0.2">
      <c r="A1208">
        <v>2022</v>
      </c>
      <c r="B1208">
        <v>12</v>
      </c>
      <c r="C1208" t="s">
        <v>55</v>
      </c>
      <c r="D1208" t="s">
        <v>60</v>
      </c>
      <c r="E1208" t="s">
        <v>63</v>
      </c>
      <c r="F1208" s="14">
        <v>206776979</v>
      </c>
      <c r="G1208" s="14">
        <v>121633469</v>
      </c>
      <c r="H1208">
        <f t="shared" si="36"/>
        <v>0</v>
      </c>
      <c r="I1208" s="20">
        <f t="shared" si="37"/>
        <v>44896</v>
      </c>
    </row>
    <row r="1209" spans="1:9" x14ac:dyDescent="0.2">
      <c r="A1209">
        <v>2022</v>
      </c>
      <c r="B1209">
        <v>12</v>
      </c>
      <c r="C1209" t="s">
        <v>64</v>
      </c>
      <c r="D1209" t="s">
        <v>60</v>
      </c>
      <c r="E1209" t="s">
        <v>61</v>
      </c>
      <c r="F1209" s="14">
        <v>64513358</v>
      </c>
      <c r="G1209" s="14">
        <v>43008881</v>
      </c>
      <c r="H1209">
        <f t="shared" si="36"/>
        <v>0</v>
      </c>
      <c r="I1209" s="20">
        <f t="shared" si="37"/>
        <v>44896</v>
      </c>
    </row>
    <row r="1210" spans="1:9" x14ac:dyDescent="0.2">
      <c r="A1210">
        <v>2022</v>
      </c>
      <c r="B1210">
        <v>12</v>
      </c>
      <c r="C1210" t="s">
        <v>62</v>
      </c>
      <c r="D1210" t="s">
        <v>60</v>
      </c>
      <c r="E1210" t="s">
        <v>63</v>
      </c>
      <c r="F1210" s="14">
        <v>54605829</v>
      </c>
      <c r="G1210" s="14">
        <v>32121076</v>
      </c>
      <c r="H1210">
        <f t="shared" si="36"/>
        <v>0</v>
      </c>
      <c r="I1210" s="20">
        <f t="shared" si="37"/>
        <v>44896</v>
      </c>
    </row>
    <row r="1211" spans="1:9" x14ac:dyDescent="0.2">
      <c r="A1211">
        <v>2022</v>
      </c>
      <c r="B1211">
        <v>12</v>
      </c>
      <c r="C1211" t="s">
        <v>55</v>
      </c>
      <c r="D1211" t="s">
        <v>60</v>
      </c>
      <c r="E1211" t="s">
        <v>76</v>
      </c>
      <c r="F1211" s="14">
        <v>36725282</v>
      </c>
      <c r="G1211" s="14">
        <v>22953301</v>
      </c>
      <c r="H1211">
        <f t="shared" si="36"/>
        <v>0</v>
      </c>
      <c r="I1211" s="20">
        <f t="shared" si="37"/>
        <v>44896</v>
      </c>
    </row>
    <row r="1212" spans="1:9" x14ac:dyDescent="0.2">
      <c r="A1212">
        <v>2022</v>
      </c>
      <c r="B1212">
        <v>12</v>
      </c>
      <c r="C1212" t="s">
        <v>62</v>
      </c>
      <c r="D1212" t="s">
        <v>60</v>
      </c>
      <c r="E1212" t="s">
        <v>65</v>
      </c>
      <c r="F1212" s="14">
        <v>2309266</v>
      </c>
      <c r="G1212" s="14">
        <v>1443291</v>
      </c>
      <c r="H1212">
        <f t="shared" si="36"/>
        <v>1</v>
      </c>
      <c r="I1212" s="20">
        <f t="shared" si="37"/>
        <v>44896</v>
      </c>
    </row>
    <row r="1213" spans="1:9" x14ac:dyDescent="0.2">
      <c r="A1213">
        <v>2022</v>
      </c>
      <c r="B1213">
        <v>12</v>
      </c>
      <c r="C1213" t="s">
        <v>62</v>
      </c>
      <c r="D1213" t="s">
        <v>60</v>
      </c>
      <c r="E1213" t="s">
        <v>76</v>
      </c>
      <c r="F1213" s="14">
        <v>877632</v>
      </c>
      <c r="G1213" s="14">
        <v>548520</v>
      </c>
      <c r="H1213">
        <f t="shared" si="36"/>
        <v>0</v>
      </c>
      <c r="I1213" s="20">
        <f t="shared" si="37"/>
        <v>44896</v>
      </c>
    </row>
    <row r="1214" spans="1:9" x14ac:dyDescent="0.2">
      <c r="A1214">
        <v>2022</v>
      </c>
      <c r="B1214">
        <v>12</v>
      </c>
      <c r="C1214" t="s">
        <v>55</v>
      </c>
      <c r="D1214" t="s">
        <v>60</v>
      </c>
      <c r="E1214" t="s">
        <v>69</v>
      </c>
      <c r="F1214" s="14">
        <v>470863</v>
      </c>
      <c r="G1214" s="14">
        <v>294289</v>
      </c>
      <c r="H1214">
        <f t="shared" si="36"/>
        <v>0</v>
      </c>
      <c r="I1214" s="20">
        <f t="shared" si="37"/>
        <v>44896</v>
      </c>
    </row>
    <row r="1215" spans="1:9" x14ac:dyDescent="0.2">
      <c r="A1215">
        <v>2022</v>
      </c>
      <c r="B1215">
        <v>12</v>
      </c>
      <c r="C1215" t="s">
        <v>55</v>
      </c>
      <c r="D1215" t="s">
        <v>60</v>
      </c>
      <c r="E1215" t="s">
        <v>65</v>
      </c>
      <c r="F1215" s="14">
        <v>160888</v>
      </c>
      <c r="G1215" s="14">
        <v>100555</v>
      </c>
      <c r="H1215">
        <f t="shared" si="36"/>
        <v>1</v>
      </c>
      <c r="I1215" s="20">
        <f t="shared" si="37"/>
        <v>44896</v>
      </c>
    </row>
    <row r="1216" spans="1:9" x14ac:dyDescent="0.2">
      <c r="A1216">
        <v>2022</v>
      </c>
      <c r="B1216">
        <v>12</v>
      </c>
      <c r="C1216" t="s">
        <v>55</v>
      </c>
      <c r="D1216" t="s">
        <v>66</v>
      </c>
      <c r="E1216" t="s">
        <v>63</v>
      </c>
      <c r="F1216" s="14">
        <v>15593063</v>
      </c>
      <c r="G1216" s="14">
        <v>9172390</v>
      </c>
      <c r="H1216">
        <f t="shared" si="36"/>
        <v>0</v>
      </c>
      <c r="I1216" s="20">
        <f t="shared" si="37"/>
        <v>44896</v>
      </c>
    </row>
    <row r="1217" spans="1:9" x14ac:dyDescent="0.2">
      <c r="A1217">
        <v>2022</v>
      </c>
      <c r="B1217">
        <v>12</v>
      </c>
      <c r="C1217" t="s">
        <v>64</v>
      </c>
      <c r="D1217" t="s">
        <v>66</v>
      </c>
      <c r="E1217" t="s">
        <v>68</v>
      </c>
      <c r="F1217" s="14">
        <v>11746584</v>
      </c>
      <c r="G1217" s="14">
        <v>11746584</v>
      </c>
      <c r="H1217">
        <f t="shared" si="36"/>
        <v>0</v>
      </c>
      <c r="I1217" s="20">
        <f t="shared" si="37"/>
        <v>44896</v>
      </c>
    </row>
    <row r="1218" spans="1:9" x14ac:dyDescent="0.2">
      <c r="A1218">
        <v>2022</v>
      </c>
      <c r="B1218">
        <v>12</v>
      </c>
      <c r="C1218" t="s">
        <v>55</v>
      </c>
      <c r="D1218" t="s">
        <v>66</v>
      </c>
      <c r="E1218" t="s">
        <v>67</v>
      </c>
      <c r="F1218" s="14">
        <v>10647231</v>
      </c>
      <c r="G1218" s="14">
        <v>7098149</v>
      </c>
      <c r="H1218">
        <f t="shared" si="36"/>
        <v>0</v>
      </c>
      <c r="I1218" s="20">
        <f t="shared" si="37"/>
        <v>44896</v>
      </c>
    </row>
    <row r="1219" spans="1:9" x14ac:dyDescent="0.2">
      <c r="A1219">
        <v>2022</v>
      </c>
      <c r="B1219">
        <v>12</v>
      </c>
      <c r="C1219" t="s">
        <v>55</v>
      </c>
      <c r="D1219" t="s">
        <v>66</v>
      </c>
      <c r="E1219" t="s">
        <v>68</v>
      </c>
      <c r="F1219" s="14">
        <v>2351619</v>
      </c>
      <c r="G1219" s="14">
        <v>2351619</v>
      </c>
      <c r="H1219">
        <f t="shared" ref="H1219:H1282" si="38">--ISNUMBER(SEARCH("Jet Fuel",E1219))</f>
        <v>0</v>
      </c>
      <c r="I1219" s="20">
        <f t="shared" ref="I1219:I1282" si="39">DATE(A1219,B1219,1)</f>
        <v>44896</v>
      </c>
    </row>
    <row r="1220" spans="1:9" x14ac:dyDescent="0.2">
      <c r="A1220">
        <v>2022</v>
      </c>
      <c r="B1220">
        <v>12</v>
      </c>
      <c r="C1220" t="s">
        <v>55</v>
      </c>
      <c r="D1220" t="s">
        <v>66</v>
      </c>
      <c r="E1220" t="s">
        <v>74</v>
      </c>
      <c r="F1220" s="14">
        <v>1029097</v>
      </c>
      <c r="G1220" s="14">
        <v>935542</v>
      </c>
      <c r="H1220">
        <f t="shared" si="38"/>
        <v>0</v>
      </c>
      <c r="I1220" s="20">
        <f t="shared" si="39"/>
        <v>44896</v>
      </c>
    </row>
    <row r="1221" spans="1:9" x14ac:dyDescent="0.2">
      <c r="A1221">
        <v>2022</v>
      </c>
      <c r="B1221">
        <v>12</v>
      </c>
      <c r="C1221" t="s">
        <v>55</v>
      </c>
      <c r="D1221" t="s">
        <v>66</v>
      </c>
      <c r="E1221" t="s">
        <v>75</v>
      </c>
      <c r="F1221" s="14">
        <v>401168</v>
      </c>
      <c r="G1221" s="14">
        <v>286549</v>
      </c>
      <c r="H1221">
        <f t="shared" si="38"/>
        <v>0</v>
      </c>
      <c r="I1221" s="20">
        <f t="shared" si="39"/>
        <v>44896</v>
      </c>
    </row>
    <row r="1222" spans="1:9" x14ac:dyDescent="0.2">
      <c r="A1222">
        <v>2022</v>
      </c>
      <c r="B1222">
        <v>12</v>
      </c>
      <c r="C1222" t="s">
        <v>55</v>
      </c>
      <c r="D1222" t="s">
        <v>66</v>
      </c>
      <c r="E1222" t="s">
        <v>69</v>
      </c>
      <c r="F1222" s="14">
        <v>182886</v>
      </c>
      <c r="G1222" s="14">
        <v>114305</v>
      </c>
      <c r="H1222">
        <f t="shared" si="38"/>
        <v>0</v>
      </c>
      <c r="I1222" s="20">
        <f t="shared" si="39"/>
        <v>44896</v>
      </c>
    </row>
    <row r="1223" spans="1:9" x14ac:dyDescent="0.2">
      <c r="A1223">
        <v>2022</v>
      </c>
      <c r="B1223">
        <v>12</v>
      </c>
      <c r="C1223" t="s">
        <v>55</v>
      </c>
      <c r="D1223" t="s">
        <v>66</v>
      </c>
      <c r="E1223" t="s">
        <v>59</v>
      </c>
      <c r="F1223" s="14">
        <v>134652</v>
      </c>
      <c r="G1223" s="14">
        <v>134652</v>
      </c>
      <c r="H1223">
        <f t="shared" si="38"/>
        <v>0</v>
      </c>
      <c r="I1223" s="20">
        <f t="shared" si="39"/>
        <v>44896</v>
      </c>
    </row>
    <row r="1224" spans="1:9" x14ac:dyDescent="0.2">
      <c r="A1224">
        <v>2022</v>
      </c>
      <c r="B1224">
        <v>12</v>
      </c>
      <c r="C1224" t="s">
        <v>55</v>
      </c>
      <c r="D1224" t="s">
        <v>70</v>
      </c>
      <c r="E1224" t="s">
        <v>68</v>
      </c>
      <c r="F1224" s="14">
        <v>1193088014</v>
      </c>
      <c r="G1224" s="14">
        <v>1193088014</v>
      </c>
      <c r="H1224">
        <f t="shared" si="38"/>
        <v>0</v>
      </c>
      <c r="I1224" s="20">
        <f t="shared" si="39"/>
        <v>44896</v>
      </c>
    </row>
    <row r="1225" spans="1:9" x14ac:dyDescent="0.2">
      <c r="A1225">
        <v>2022</v>
      </c>
      <c r="B1225">
        <v>12</v>
      </c>
      <c r="C1225" t="s">
        <v>62</v>
      </c>
      <c r="D1225" t="s">
        <v>70</v>
      </c>
      <c r="E1225" t="s">
        <v>63</v>
      </c>
      <c r="F1225" s="14">
        <v>18566373</v>
      </c>
      <c r="G1225" s="14">
        <v>10921396</v>
      </c>
      <c r="H1225">
        <f t="shared" si="38"/>
        <v>0</v>
      </c>
      <c r="I1225" s="20">
        <f t="shared" si="39"/>
        <v>44896</v>
      </c>
    </row>
    <row r="1226" spans="1:9" x14ac:dyDescent="0.2">
      <c r="A1226">
        <v>2022</v>
      </c>
      <c r="B1226">
        <v>12</v>
      </c>
      <c r="C1226" t="s">
        <v>64</v>
      </c>
      <c r="D1226" t="s">
        <v>70</v>
      </c>
      <c r="E1226" t="s">
        <v>68</v>
      </c>
      <c r="F1226" s="14">
        <v>1287796</v>
      </c>
      <c r="G1226" s="14">
        <v>1287796</v>
      </c>
      <c r="H1226">
        <f t="shared" si="38"/>
        <v>0</v>
      </c>
      <c r="I1226" s="20">
        <f t="shared" si="39"/>
        <v>44896</v>
      </c>
    </row>
    <row r="1227" spans="1:9" x14ac:dyDescent="0.2">
      <c r="A1227">
        <v>2022</v>
      </c>
      <c r="B1227">
        <v>12</v>
      </c>
      <c r="C1227" t="s">
        <v>64</v>
      </c>
      <c r="D1227" t="s">
        <v>71</v>
      </c>
      <c r="E1227" t="s">
        <v>72</v>
      </c>
      <c r="F1227" s="14">
        <v>33897</v>
      </c>
      <c r="G1227" s="14">
        <v>33897</v>
      </c>
      <c r="H1227">
        <f t="shared" si="38"/>
        <v>0</v>
      </c>
      <c r="I1227" s="20">
        <f t="shared" si="39"/>
        <v>44896</v>
      </c>
    </row>
    <row r="1228" spans="1:9" x14ac:dyDescent="0.2">
      <c r="A1228">
        <v>2023</v>
      </c>
      <c r="B1228">
        <v>1</v>
      </c>
      <c r="C1228" t="s">
        <v>55</v>
      </c>
      <c r="D1228" t="s">
        <v>56</v>
      </c>
      <c r="E1228" t="s">
        <v>59</v>
      </c>
      <c r="F1228" s="14">
        <v>1964428</v>
      </c>
      <c r="G1228" s="14">
        <v>1964428</v>
      </c>
      <c r="H1228">
        <f t="shared" si="38"/>
        <v>0</v>
      </c>
      <c r="I1228" s="20">
        <f t="shared" si="39"/>
        <v>44927</v>
      </c>
    </row>
    <row r="1229" spans="1:9" x14ac:dyDescent="0.2">
      <c r="A1229">
        <v>2023</v>
      </c>
      <c r="B1229">
        <v>1</v>
      </c>
      <c r="C1229" t="s">
        <v>55</v>
      </c>
      <c r="D1229" t="s">
        <v>56</v>
      </c>
      <c r="E1229" t="s">
        <v>58</v>
      </c>
      <c r="F1229" s="14">
        <v>604446</v>
      </c>
      <c r="G1229" s="14">
        <v>604446</v>
      </c>
      <c r="H1229">
        <f t="shared" si="38"/>
        <v>0</v>
      </c>
      <c r="I1229" s="20">
        <f t="shared" si="39"/>
        <v>44927</v>
      </c>
    </row>
    <row r="1230" spans="1:9" x14ac:dyDescent="0.2">
      <c r="A1230">
        <v>2023</v>
      </c>
      <c r="B1230">
        <v>1</v>
      </c>
      <c r="C1230" t="s">
        <v>55</v>
      </c>
      <c r="D1230" t="s">
        <v>60</v>
      </c>
      <c r="E1230" t="s">
        <v>63</v>
      </c>
      <c r="F1230" s="14">
        <v>195805071</v>
      </c>
      <c r="G1230" s="14">
        <v>115179403</v>
      </c>
      <c r="H1230">
        <f t="shared" si="38"/>
        <v>0</v>
      </c>
      <c r="I1230" s="20">
        <f t="shared" si="39"/>
        <v>44927</v>
      </c>
    </row>
    <row r="1231" spans="1:9" x14ac:dyDescent="0.2">
      <c r="A1231">
        <v>2023</v>
      </c>
      <c r="B1231">
        <v>1</v>
      </c>
      <c r="C1231" t="s">
        <v>55</v>
      </c>
      <c r="D1231" t="s">
        <v>60</v>
      </c>
      <c r="E1231" t="s">
        <v>61</v>
      </c>
      <c r="F1231" s="14">
        <v>180353520</v>
      </c>
      <c r="G1231" s="14">
        <v>120234447</v>
      </c>
      <c r="H1231">
        <f t="shared" si="38"/>
        <v>0</v>
      </c>
      <c r="I1231" s="20">
        <f t="shared" si="39"/>
        <v>44927</v>
      </c>
    </row>
    <row r="1232" spans="1:9" x14ac:dyDescent="0.2">
      <c r="A1232">
        <v>2023</v>
      </c>
      <c r="B1232">
        <v>1</v>
      </c>
      <c r="C1232" t="s">
        <v>62</v>
      </c>
      <c r="D1232" t="s">
        <v>60</v>
      </c>
      <c r="E1232" t="s">
        <v>63</v>
      </c>
      <c r="F1232" s="14">
        <v>57003812</v>
      </c>
      <c r="G1232" s="14">
        <v>33531654</v>
      </c>
      <c r="H1232">
        <f t="shared" si="38"/>
        <v>0</v>
      </c>
      <c r="I1232" s="20">
        <f t="shared" si="39"/>
        <v>44927</v>
      </c>
    </row>
    <row r="1233" spans="1:9" x14ac:dyDescent="0.2">
      <c r="A1233">
        <v>2023</v>
      </c>
      <c r="B1233">
        <v>1</v>
      </c>
      <c r="C1233" t="s">
        <v>55</v>
      </c>
      <c r="D1233" t="s">
        <v>60</v>
      </c>
      <c r="E1233" t="s">
        <v>76</v>
      </c>
      <c r="F1233" s="14">
        <v>47104794</v>
      </c>
      <c r="G1233" s="14">
        <v>29440496</v>
      </c>
      <c r="H1233">
        <f t="shared" si="38"/>
        <v>0</v>
      </c>
      <c r="I1233" s="20">
        <f t="shared" si="39"/>
        <v>44927</v>
      </c>
    </row>
    <row r="1234" spans="1:9" x14ac:dyDescent="0.2">
      <c r="A1234">
        <v>2023</v>
      </c>
      <c r="B1234">
        <v>1</v>
      </c>
      <c r="C1234" t="s">
        <v>64</v>
      </c>
      <c r="D1234" t="s">
        <v>60</v>
      </c>
      <c r="E1234" t="s">
        <v>61</v>
      </c>
      <c r="F1234" s="14">
        <v>36873751</v>
      </c>
      <c r="G1234" s="14">
        <v>24582474</v>
      </c>
      <c r="H1234">
        <f t="shared" si="38"/>
        <v>0</v>
      </c>
      <c r="I1234" s="20">
        <f t="shared" si="39"/>
        <v>44927</v>
      </c>
    </row>
    <row r="1235" spans="1:9" x14ac:dyDescent="0.2">
      <c r="A1235">
        <v>2023</v>
      </c>
      <c r="B1235">
        <v>1</v>
      </c>
      <c r="C1235" t="s">
        <v>62</v>
      </c>
      <c r="D1235" t="s">
        <v>60</v>
      </c>
      <c r="E1235" t="s">
        <v>76</v>
      </c>
      <c r="F1235" s="14">
        <v>6987973</v>
      </c>
      <c r="G1235" s="14">
        <v>4367483</v>
      </c>
      <c r="H1235">
        <f t="shared" si="38"/>
        <v>0</v>
      </c>
      <c r="I1235" s="20">
        <f t="shared" si="39"/>
        <v>44927</v>
      </c>
    </row>
    <row r="1236" spans="1:9" x14ac:dyDescent="0.2">
      <c r="A1236">
        <v>2023</v>
      </c>
      <c r="B1236">
        <v>1</v>
      </c>
      <c r="C1236" t="s">
        <v>55</v>
      </c>
      <c r="D1236" t="s">
        <v>60</v>
      </c>
      <c r="E1236" t="s">
        <v>65</v>
      </c>
      <c r="F1236" s="14">
        <v>161499</v>
      </c>
      <c r="G1236" s="14">
        <v>100937</v>
      </c>
      <c r="H1236">
        <f t="shared" si="38"/>
        <v>1</v>
      </c>
      <c r="I1236" s="20">
        <f t="shared" si="39"/>
        <v>44927</v>
      </c>
    </row>
    <row r="1237" spans="1:9" x14ac:dyDescent="0.2">
      <c r="A1237">
        <v>2023</v>
      </c>
      <c r="B1237">
        <v>1</v>
      </c>
      <c r="C1237" t="s">
        <v>55</v>
      </c>
      <c r="D1237" t="s">
        <v>66</v>
      </c>
      <c r="E1237" t="s">
        <v>67</v>
      </c>
      <c r="F1237" s="14">
        <v>7791870</v>
      </c>
      <c r="G1237" s="14">
        <v>5194575</v>
      </c>
      <c r="H1237">
        <f t="shared" si="38"/>
        <v>0</v>
      </c>
      <c r="I1237" s="20">
        <f t="shared" si="39"/>
        <v>44927</v>
      </c>
    </row>
    <row r="1238" spans="1:9" x14ac:dyDescent="0.2">
      <c r="A1238">
        <v>2023</v>
      </c>
      <c r="B1238">
        <v>1</v>
      </c>
      <c r="C1238" t="s">
        <v>55</v>
      </c>
      <c r="D1238" t="s">
        <v>66</v>
      </c>
      <c r="E1238" t="s">
        <v>63</v>
      </c>
      <c r="F1238" s="14">
        <v>6219410</v>
      </c>
      <c r="G1238" s="14">
        <v>3658476</v>
      </c>
      <c r="H1238">
        <f t="shared" si="38"/>
        <v>0</v>
      </c>
      <c r="I1238" s="20">
        <f t="shared" si="39"/>
        <v>44927</v>
      </c>
    </row>
    <row r="1239" spans="1:9" x14ac:dyDescent="0.2">
      <c r="A1239">
        <v>2023</v>
      </c>
      <c r="B1239">
        <v>1</v>
      </c>
      <c r="C1239" t="s">
        <v>55</v>
      </c>
      <c r="D1239" t="s">
        <v>66</v>
      </c>
      <c r="E1239" t="s">
        <v>68</v>
      </c>
      <c r="F1239" s="14">
        <v>2395622</v>
      </c>
      <c r="G1239" s="14">
        <v>2395622</v>
      </c>
      <c r="H1239">
        <f t="shared" si="38"/>
        <v>0</v>
      </c>
      <c r="I1239" s="20">
        <f t="shared" si="39"/>
        <v>44927</v>
      </c>
    </row>
    <row r="1240" spans="1:9" x14ac:dyDescent="0.2">
      <c r="A1240">
        <v>2023</v>
      </c>
      <c r="B1240">
        <v>1</v>
      </c>
      <c r="C1240" t="s">
        <v>55</v>
      </c>
      <c r="D1240" t="s">
        <v>66</v>
      </c>
      <c r="E1240" t="s">
        <v>69</v>
      </c>
      <c r="F1240" s="14">
        <v>228976</v>
      </c>
      <c r="G1240" s="14">
        <v>143111</v>
      </c>
      <c r="H1240">
        <f t="shared" si="38"/>
        <v>0</v>
      </c>
      <c r="I1240" s="20">
        <f t="shared" si="39"/>
        <v>44927</v>
      </c>
    </row>
    <row r="1241" spans="1:9" x14ac:dyDescent="0.2">
      <c r="A1241">
        <v>2023</v>
      </c>
      <c r="B1241">
        <v>1</v>
      </c>
      <c r="C1241" t="s">
        <v>55</v>
      </c>
      <c r="D1241" t="s">
        <v>66</v>
      </c>
      <c r="E1241" t="s">
        <v>59</v>
      </c>
      <c r="F1241" s="14">
        <v>45290</v>
      </c>
      <c r="G1241" s="14">
        <v>45290</v>
      </c>
      <c r="H1241">
        <f t="shared" si="38"/>
        <v>0</v>
      </c>
      <c r="I1241" s="20">
        <f t="shared" si="39"/>
        <v>44927</v>
      </c>
    </row>
    <row r="1242" spans="1:9" x14ac:dyDescent="0.2">
      <c r="A1242">
        <v>2023</v>
      </c>
      <c r="B1242">
        <v>1</v>
      </c>
      <c r="C1242" t="s">
        <v>55</v>
      </c>
      <c r="D1242" t="s">
        <v>70</v>
      </c>
      <c r="E1242" t="s">
        <v>68</v>
      </c>
      <c r="F1242" s="14">
        <v>1200969763</v>
      </c>
      <c r="G1242" s="14">
        <v>1200969763</v>
      </c>
      <c r="H1242">
        <f t="shared" si="38"/>
        <v>0</v>
      </c>
      <c r="I1242" s="20">
        <f t="shared" si="39"/>
        <v>44927</v>
      </c>
    </row>
    <row r="1243" spans="1:9" x14ac:dyDescent="0.2">
      <c r="A1243">
        <v>2023</v>
      </c>
      <c r="B1243">
        <v>1</v>
      </c>
      <c r="C1243" t="s">
        <v>62</v>
      </c>
      <c r="D1243" t="s">
        <v>70</v>
      </c>
      <c r="E1243" t="s">
        <v>63</v>
      </c>
      <c r="F1243" s="14">
        <v>14648996</v>
      </c>
      <c r="G1243" s="14">
        <v>8617057</v>
      </c>
      <c r="H1243">
        <f t="shared" si="38"/>
        <v>0</v>
      </c>
      <c r="I1243" s="20">
        <f t="shared" si="39"/>
        <v>44927</v>
      </c>
    </row>
    <row r="1244" spans="1:9" x14ac:dyDescent="0.2">
      <c r="A1244">
        <v>2023</v>
      </c>
      <c r="B1244">
        <v>1</v>
      </c>
      <c r="C1244" t="s">
        <v>64</v>
      </c>
      <c r="D1244" t="s">
        <v>70</v>
      </c>
      <c r="E1244" t="s">
        <v>68</v>
      </c>
      <c r="F1244" s="14">
        <v>1105522</v>
      </c>
      <c r="G1244" s="14">
        <v>1105522</v>
      </c>
      <c r="H1244">
        <f t="shared" si="38"/>
        <v>0</v>
      </c>
      <c r="I1244" s="20">
        <f t="shared" si="39"/>
        <v>44927</v>
      </c>
    </row>
    <row r="1245" spans="1:9" x14ac:dyDescent="0.2">
      <c r="A1245">
        <v>2023</v>
      </c>
      <c r="B1245">
        <v>2</v>
      </c>
      <c r="C1245" t="s">
        <v>55</v>
      </c>
      <c r="D1245" t="s">
        <v>56</v>
      </c>
      <c r="E1245" t="s">
        <v>59</v>
      </c>
      <c r="F1245" s="14">
        <v>53280009</v>
      </c>
      <c r="G1245" s="14">
        <v>53280009</v>
      </c>
      <c r="H1245">
        <f t="shared" si="38"/>
        <v>0</v>
      </c>
      <c r="I1245" s="20">
        <f t="shared" si="39"/>
        <v>44958</v>
      </c>
    </row>
    <row r="1246" spans="1:9" x14ac:dyDescent="0.2">
      <c r="A1246">
        <v>2023</v>
      </c>
      <c r="B1246">
        <v>2</v>
      </c>
      <c r="C1246" t="s">
        <v>55</v>
      </c>
      <c r="D1246" t="s">
        <v>56</v>
      </c>
      <c r="E1246" t="s">
        <v>58</v>
      </c>
      <c r="F1246" s="14">
        <v>4078579</v>
      </c>
      <c r="G1246" s="14">
        <v>4078579</v>
      </c>
      <c r="H1246">
        <f t="shared" si="38"/>
        <v>0</v>
      </c>
      <c r="I1246" s="20">
        <f t="shared" si="39"/>
        <v>44958</v>
      </c>
    </row>
    <row r="1247" spans="1:9" x14ac:dyDescent="0.2">
      <c r="A1247">
        <v>2023</v>
      </c>
      <c r="B1247">
        <v>2</v>
      </c>
      <c r="C1247" t="s">
        <v>64</v>
      </c>
      <c r="D1247" t="s">
        <v>56</v>
      </c>
      <c r="E1247" t="s">
        <v>58</v>
      </c>
      <c r="F1247" s="14">
        <v>3299257</v>
      </c>
      <c r="G1247" s="14">
        <v>3299257</v>
      </c>
      <c r="H1247">
        <f t="shared" si="38"/>
        <v>0</v>
      </c>
      <c r="I1247" s="20">
        <f t="shared" si="39"/>
        <v>44958</v>
      </c>
    </row>
    <row r="1248" spans="1:9" x14ac:dyDescent="0.2">
      <c r="A1248">
        <v>2023</v>
      </c>
      <c r="B1248">
        <v>2</v>
      </c>
      <c r="C1248" t="s">
        <v>64</v>
      </c>
      <c r="D1248" t="s">
        <v>56</v>
      </c>
      <c r="E1248" t="s">
        <v>59</v>
      </c>
      <c r="F1248" s="14">
        <v>277538</v>
      </c>
      <c r="G1248" s="14">
        <v>277538</v>
      </c>
      <c r="H1248">
        <f t="shared" si="38"/>
        <v>0</v>
      </c>
      <c r="I1248" s="20">
        <f t="shared" si="39"/>
        <v>44958</v>
      </c>
    </row>
    <row r="1249" spans="1:9" x14ac:dyDescent="0.2">
      <c r="A1249">
        <v>2023</v>
      </c>
      <c r="B1249">
        <v>2</v>
      </c>
      <c r="C1249" t="s">
        <v>55</v>
      </c>
      <c r="D1249" t="s">
        <v>56</v>
      </c>
      <c r="E1249" t="s">
        <v>57</v>
      </c>
      <c r="F1249" s="14">
        <v>86732</v>
      </c>
      <c r="G1249" s="14">
        <v>86732</v>
      </c>
      <c r="H1249">
        <f t="shared" si="38"/>
        <v>0</v>
      </c>
      <c r="I1249" s="20">
        <f t="shared" si="39"/>
        <v>44958</v>
      </c>
    </row>
    <row r="1250" spans="1:9" x14ac:dyDescent="0.2">
      <c r="A1250">
        <v>2023</v>
      </c>
      <c r="B1250">
        <v>2</v>
      </c>
      <c r="C1250" t="s">
        <v>55</v>
      </c>
      <c r="D1250" t="s">
        <v>60</v>
      </c>
      <c r="E1250" t="s">
        <v>63</v>
      </c>
      <c r="F1250" s="14">
        <v>189302396</v>
      </c>
      <c r="G1250" s="14">
        <v>111354272</v>
      </c>
      <c r="H1250">
        <f t="shared" si="38"/>
        <v>0</v>
      </c>
      <c r="I1250" s="20">
        <f t="shared" si="39"/>
        <v>44958</v>
      </c>
    </row>
    <row r="1251" spans="1:9" x14ac:dyDescent="0.2">
      <c r="A1251">
        <v>2023</v>
      </c>
      <c r="B1251">
        <v>2</v>
      </c>
      <c r="C1251" t="s">
        <v>55</v>
      </c>
      <c r="D1251" t="s">
        <v>60</v>
      </c>
      <c r="E1251" t="s">
        <v>61</v>
      </c>
      <c r="F1251" s="14">
        <v>172115694</v>
      </c>
      <c r="G1251" s="14">
        <v>114742607</v>
      </c>
      <c r="H1251">
        <f t="shared" si="38"/>
        <v>0</v>
      </c>
      <c r="I1251" s="20">
        <f t="shared" si="39"/>
        <v>44958</v>
      </c>
    </row>
    <row r="1252" spans="1:9" x14ac:dyDescent="0.2">
      <c r="A1252">
        <v>2023</v>
      </c>
      <c r="B1252">
        <v>2</v>
      </c>
      <c r="C1252" t="s">
        <v>64</v>
      </c>
      <c r="D1252" t="s">
        <v>60</v>
      </c>
      <c r="E1252" t="s">
        <v>61</v>
      </c>
      <c r="F1252" s="14">
        <v>61194513</v>
      </c>
      <c r="G1252" s="14">
        <v>40796313</v>
      </c>
      <c r="H1252">
        <f t="shared" si="38"/>
        <v>0</v>
      </c>
      <c r="I1252" s="20">
        <f t="shared" si="39"/>
        <v>44958</v>
      </c>
    </row>
    <row r="1253" spans="1:9" x14ac:dyDescent="0.2">
      <c r="A1253">
        <v>2023</v>
      </c>
      <c r="B1253">
        <v>2</v>
      </c>
      <c r="C1253" t="s">
        <v>62</v>
      </c>
      <c r="D1253" t="s">
        <v>60</v>
      </c>
      <c r="E1253" t="s">
        <v>63</v>
      </c>
      <c r="F1253" s="14">
        <v>45735317</v>
      </c>
      <c r="G1253" s="14">
        <v>26903128</v>
      </c>
      <c r="H1253">
        <f t="shared" si="38"/>
        <v>0</v>
      </c>
      <c r="I1253" s="20">
        <f t="shared" si="39"/>
        <v>44958</v>
      </c>
    </row>
    <row r="1254" spans="1:9" x14ac:dyDescent="0.2">
      <c r="A1254">
        <v>2023</v>
      </c>
      <c r="B1254">
        <v>2</v>
      </c>
      <c r="C1254" t="s">
        <v>55</v>
      </c>
      <c r="D1254" t="s">
        <v>60</v>
      </c>
      <c r="E1254" t="s">
        <v>76</v>
      </c>
      <c r="F1254" s="14">
        <v>44200479</v>
      </c>
      <c r="G1254" s="14">
        <v>27625299</v>
      </c>
      <c r="H1254">
        <f t="shared" si="38"/>
        <v>0</v>
      </c>
      <c r="I1254" s="20">
        <f t="shared" si="39"/>
        <v>44958</v>
      </c>
    </row>
    <row r="1255" spans="1:9" x14ac:dyDescent="0.2">
      <c r="A1255">
        <v>2023</v>
      </c>
      <c r="B1255">
        <v>2</v>
      </c>
      <c r="C1255" t="s">
        <v>55</v>
      </c>
      <c r="D1255" t="s">
        <v>60</v>
      </c>
      <c r="E1255" t="s">
        <v>65</v>
      </c>
      <c r="F1255" s="14">
        <v>2525754</v>
      </c>
      <c r="G1255" s="14">
        <v>1578596</v>
      </c>
      <c r="H1255">
        <f t="shared" si="38"/>
        <v>1</v>
      </c>
      <c r="I1255" s="20">
        <f t="shared" si="39"/>
        <v>44958</v>
      </c>
    </row>
    <row r="1256" spans="1:9" x14ac:dyDescent="0.2">
      <c r="A1256">
        <v>2023</v>
      </c>
      <c r="B1256">
        <v>2</v>
      </c>
      <c r="C1256" t="s">
        <v>62</v>
      </c>
      <c r="D1256" t="s">
        <v>60</v>
      </c>
      <c r="E1256" t="s">
        <v>65</v>
      </c>
      <c r="F1256" s="14">
        <v>2378048</v>
      </c>
      <c r="G1256" s="14">
        <v>1486280</v>
      </c>
      <c r="H1256">
        <f t="shared" si="38"/>
        <v>1</v>
      </c>
      <c r="I1256" s="20">
        <f t="shared" si="39"/>
        <v>44958</v>
      </c>
    </row>
    <row r="1257" spans="1:9" x14ac:dyDescent="0.2">
      <c r="A1257">
        <v>2023</v>
      </c>
      <c r="B1257">
        <v>2</v>
      </c>
      <c r="C1257" t="s">
        <v>62</v>
      </c>
      <c r="D1257" t="s">
        <v>60</v>
      </c>
      <c r="E1257" t="s">
        <v>76</v>
      </c>
      <c r="F1257" s="14">
        <v>935130</v>
      </c>
      <c r="G1257" s="14">
        <v>584456</v>
      </c>
      <c r="H1257">
        <f t="shared" si="38"/>
        <v>0</v>
      </c>
      <c r="I1257" s="20">
        <f t="shared" si="39"/>
        <v>44958</v>
      </c>
    </row>
    <row r="1258" spans="1:9" x14ac:dyDescent="0.2">
      <c r="A1258">
        <v>2023</v>
      </c>
      <c r="B1258">
        <v>2</v>
      </c>
      <c r="C1258" t="s">
        <v>55</v>
      </c>
      <c r="D1258" t="s">
        <v>66</v>
      </c>
      <c r="E1258" t="s">
        <v>67</v>
      </c>
      <c r="F1258" s="14">
        <v>7848707</v>
      </c>
      <c r="G1258" s="14">
        <v>5232456</v>
      </c>
      <c r="H1258">
        <f t="shared" si="38"/>
        <v>0</v>
      </c>
      <c r="I1258" s="20">
        <f t="shared" si="39"/>
        <v>44958</v>
      </c>
    </row>
    <row r="1259" spans="1:9" x14ac:dyDescent="0.2">
      <c r="A1259">
        <v>2023</v>
      </c>
      <c r="B1259">
        <v>2</v>
      </c>
      <c r="C1259" t="s">
        <v>55</v>
      </c>
      <c r="D1259" t="s">
        <v>66</v>
      </c>
      <c r="E1259" t="s">
        <v>63</v>
      </c>
      <c r="F1259" s="14">
        <v>3567587</v>
      </c>
      <c r="G1259" s="14">
        <v>2098580</v>
      </c>
      <c r="H1259">
        <f t="shared" si="38"/>
        <v>0</v>
      </c>
      <c r="I1259" s="20">
        <f t="shared" si="39"/>
        <v>44958</v>
      </c>
    </row>
    <row r="1260" spans="1:9" x14ac:dyDescent="0.2">
      <c r="A1260">
        <v>2023</v>
      </c>
      <c r="B1260">
        <v>2</v>
      </c>
      <c r="C1260" t="s">
        <v>55</v>
      </c>
      <c r="D1260" t="s">
        <v>66</v>
      </c>
      <c r="E1260" t="s">
        <v>68</v>
      </c>
      <c r="F1260" s="14">
        <v>2258268</v>
      </c>
      <c r="G1260" s="14">
        <v>2258268</v>
      </c>
      <c r="H1260">
        <f t="shared" si="38"/>
        <v>0</v>
      </c>
      <c r="I1260" s="20">
        <f t="shared" si="39"/>
        <v>44958</v>
      </c>
    </row>
    <row r="1261" spans="1:9" x14ac:dyDescent="0.2">
      <c r="A1261">
        <v>2023</v>
      </c>
      <c r="B1261">
        <v>2</v>
      </c>
      <c r="C1261" t="s">
        <v>55</v>
      </c>
      <c r="D1261" t="s">
        <v>66</v>
      </c>
      <c r="E1261" t="s">
        <v>74</v>
      </c>
      <c r="F1261" s="14">
        <v>485061</v>
      </c>
      <c r="G1261" s="14">
        <v>440964</v>
      </c>
      <c r="H1261">
        <f t="shared" si="38"/>
        <v>0</v>
      </c>
      <c r="I1261" s="20">
        <f t="shared" si="39"/>
        <v>44958</v>
      </c>
    </row>
    <row r="1262" spans="1:9" x14ac:dyDescent="0.2">
      <c r="A1262">
        <v>2023</v>
      </c>
      <c r="B1262">
        <v>2</v>
      </c>
      <c r="C1262" t="s">
        <v>55</v>
      </c>
      <c r="D1262" t="s">
        <v>66</v>
      </c>
      <c r="E1262" t="s">
        <v>69</v>
      </c>
      <c r="F1262" s="14">
        <v>360302</v>
      </c>
      <c r="G1262" s="14">
        <v>225187</v>
      </c>
      <c r="H1262">
        <f t="shared" si="38"/>
        <v>0</v>
      </c>
      <c r="I1262" s="20">
        <f t="shared" si="39"/>
        <v>44958</v>
      </c>
    </row>
    <row r="1263" spans="1:9" x14ac:dyDescent="0.2">
      <c r="A1263">
        <v>2023</v>
      </c>
      <c r="B1263">
        <v>2</v>
      </c>
      <c r="C1263" t="s">
        <v>55</v>
      </c>
      <c r="D1263" t="s">
        <v>66</v>
      </c>
      <c r="E1263" t="s">
        <v>59</v>
      </c>
      <c r="F1263" s="14">
        <v>81116</v>
      </c>
      <c r="G1263" s="14">
        <v>81116</v>
      </c>
      <c r="H1263">
        <f t="shared" si="38"/>
        <v>0</v>
      </c>
      <c r="I1263" s="20">
        <f t="shared" si="39"/>
        <v>44958</v>
      </c>
    </row>
    <row r="1264" spans="1:9" x14ac:dyDescent="0.2">
      <c r="A1264">
        <v>2023</v>
      </c>
      <c r="B1264">
        <v>2</v>
      </c>
      <c r="C1264" t="s">
        <v>55</v>
      </c>
      <c r="D1264" t="s">
        <v>70</v>
      </c>
      <c r="E1264" t="s">
        <v>68</v>
      </c>
      <c r="F1264" s="14">
        <v>1118067955</v>
      </c>
      <c r="G1264" s="14">
        <v>1118067955</v>
      </c>
      <c r="H1264">
        <f t="shared" si="38"/>
        <v>0</v>
      </c>
      <c r="I1264" s="20">
        <f t="shared" si="39"/>
        <v>44958</v>
      </c>
    </row>
    <row r="1265" spans="1:9" x14ac:dyDescent="0.2">
      <c r="A1265">
        <v>2023</v>
      </c>
      <c r="B1265">
        <v>2</v>
      </c>
      <c r="C1265" t="s">
        <v>62</v>
      </c>
      <c r="D1265" t="s">
        <v>70</v>
      </c>
      <c r="E1265" t="s">
        <v>63</v>
      </c>
      <c r="F1265" s="14">
        <v>11014399</v>
      </c>
      <c r="G1265" s="14">
        <v>6479058</v>
      </c>
      <c r="H1265">
        <f t="shared" si="38"/>
        <v>0</v>
      </c>
      <c r="I1265" s="20">
        <f t="shared" si="39"/>
        <v>44958</v>
      </c>
    </row>
    <row r="1266" spans="1:9" x14ac:dyDescent="0.2">
      <c r="A1266">
        <v>2023</v>
      </c>
      <c r="B1266">
        <v>2</v>
      </c>
      <c r="C1266" t="s">
        <v>64</v>
      </c>
      <c r="D1266" t="s">
        <v>70</v>
      </c>
      <c r="E1266" t="s">
        <v>68</v>
      </c>
      <c r="F1266" s="14">
        <v>1100346</v>
      </c>
      <c r="G1266" s="14">
        <v>1100346</v>
      </c>
      <c r="H1266">
        <f t="shared" si="38"/>
        <v>0</v>
      </c>
      <c r="I1266" s="20">
        <f t="shared" si="39"/>
        <v>44958</v>
      </c>
    </row>
    <row r="1267" spans="1:9" x14ac:dyDescent="0.2">
      <c r="A1267">
        <v>2023</v>
      </c>
      <c r="B1267">
        <v>3</v>
      </c>
      <c r="C1267" t="s">
        <v>55</v>
      </c>
      <c r="D1267" t="s">
        <v>56</v>
      </c>
      <c r="E1267" t="s">
        <v>59</v>
      </c>
      <c r="F1267" s="14">
        <v>48547128</v>
      </c>
      <c r="G1267" s="14">
        <v>48547128</v>
      </c>
      <c r="H1267">
        <f t="shared" si="38"/>
        <v>0</v>
      </c>
      <c r="I1267" s="20">
        <f t="shared" si="39"/>
        <v>44986</v>
      </c>
    </row>
    <row r="1268" spans="1:9" x14ac:dyDescent="0.2">
      <c r="A1268">
        <v>2023</v>
      </c>
      <c r="B1268">
        <v>3</v>
      </c>
      <c r="C1268" t="s">
        <v>55</v>
      </c>
      <c r="D1268" t="s">
        <v>56</v>
      </c>
      <c r="E1268" t="s">
        <v>58</v>
      </c>
      <c r="F1268" s="14">
        <v>3434859</v>
      </c>
      <c r="G1268" s="14">
        <v>3434859</v>
      </c>
      <c r="H1268">
        <f t="shared" si="38"/>
        <v>0</v>
      </c>
      <c r="I1268" s="20">
        <f t="shared" si="39"/>
        <v>44986</v>
      </c>
    </row>
    <row r="1269" spans="1:9" x14ac:dyDescent="0.2">
      <c r="A1269">
        <v>2023</v>
      </c>
      <c r="B1269">
        <v>3</v>
      </c>
      <c r="C1269" t="s">
        <v>64</v>
      </c>
      <c r="D1269" t="s">
        <v>56</v>
      </c>
      <c r="E1269" t="s">
        <v>58</v>
      </c>
      <c r="F1269" s="14">
        <v>3057382</v>
      </c>
      <c r="G1269" s="14">
        <v>3057382</v>
      </c>
      <c r="H1269">
        <f t="shared" si="38"/>
        <v>0</v>
      </c>
      <c r="I1269" s="20">
        <f t="shared" si="39"/>
        <v>44986</v>
      </c>
    </row>
    <row r="1270" spans="1:9" x14ac:dyDescent="0.2">
      <c r="A1270">
        <v>2023</v>
      </c>
      <c r="B1270">
        <v>3</v>
      </c>
      <c r="C1270" t="s">
        <v>55</v>
      </c>
      <c r="D1270" t="s">
        <v>56</v>
      </c>
      <c r="E1270" t="s">
        <v>57</v>
      </c>
      <c r="F1270" s="14">
        <v>202916</v>
      </c>
      <c r="G1270" s="14">
        <v>202916</v>
      </c>
      <c r="H1270">
        <f t="shared" si="38"/>
        <v>0</v>
      </c>
      <c r="I1270" s="20">
        <f t="shared" si="39"/>
        <v>44986</v>
      </c>
    </row>
    <row r="1271" spans="1:9" x14ac:dyDescent="0.2">
      <c r="A1271">
        <v>2023</v>
      </c>
      <c r="B1271">
        <v>3</v>
      </c>
      <c r="C1271" t="s">
        <v>64</v>
      </c>
      <c r="D1271" t="s">
        <v>56</v>
      </c>
      <c r="E1271" t="s">
        <v>59</v>
      </c>
      <c r="F1271" s="14">
        <v>84835</v>
      </c>
      <c r="G1271" s="14">
        <v>84835</v>
      </c>
      <c r="H1271">
        <f t="shared" si="38"/>
        <v>0</v>
      </c>
      <c r="I1271" s="20">
        <f t="shared" si="39"/>
        <v>44986</v>
      </c>
    </row>
    <row r="1272" spans="1:9" x14ac:dyDescent="0.2">
      <c r="A1272">
        <v>2023</v>
      </c>
      <c r="B1272">
        <v>3</v>
      </c>
      <c r="C1272" t="s">
        <v>55</v>
      </c>
      <c r="D1272" t="s">
        <v>60</v>
      </c>
      <c r="E1272" t="s">
        <v>63</v>
      </c>
      <c r="F1272" s="14">
        <v>235381292</v>
      </c>
      <c r="G1272" s="14">
        <v>138459491</v>
      </c>
      <c r="H1272">
        <f t="shared" si="38"/>
        <v>0</v>
      </c>
      <c r="I1272" s="20">
        <f t="shared" si="39"/>
        <v>44986</v>
      </c>
    </row>
    <row r="1273" spans="1:9" x14ac:dyDescent="0.2">
      <c r="A1273">
        <v>2023</v>
      </c>
      <c r="B1273">
        <v>3</v>
      </c>
      <c r="C1273" t="s">
        <v>55</v>
      </c>
      <c r="D1273" t="s">
        <v>60</v>
      </c>
      <c r="E1273" t="s">
        <v>61</v>
      </c>
      <c r="F1273" s="14">
        <v>196333084</v>
      </c>
      <c r="G1273" s="14">
        <v>130887319</v>
      </c>
      <c r="H1273">
        <f t="shared" si="38"/>
        <v>0</v>
      </c>
      <c r="I1273" s="20">
        <f t="shared" si="39"/>
        <v>44986</v>
      </c>
    </row>
    <row r="1274" spans="1:9" x14ac:dyDescent="0.2">
      <c r="A1274">
        <v>2023</v>
      </c>
      <c r="B1274">
        <v>3</v>
      </c>
      <c r="C1274" t="s">
        <v>64</v>
      </c>
      <c r="D1274" t="s">
        <v>60</v>
      </c>
      <c r="E1274" t="s">
        <v>61</v>
      </c>
      <c r="F1274" s="14">
        <v>67182654</v>
      </c>
      <c r="G1274" s="14">
        <v>44788401</v>
      </c>
      <c r="H1274">
        <f t="shared" si="38"/>
        <v>0</v>
      </c>
      <c r="I1274" s="20">
        <f t="shared" si="39"/>
        <v>44986</v>
      </c>
    </row>
    <row r="1275" spans="1:9" x14ac:dyDescent="0.2">
      <c r="A1275">
        <v>2023</v>
      </c>
      <c r="B1275">
        <v>3</v>
      </c>
      <c r="C1275" t="s">
        <v>55</v>
      </c>
      <c r="D1275" t="s">
        <v>60</v>
      </c>
      <c r="E1275" t="s">
        <v>76</v>
      </c>
      <c r="F1275" s="14">
        <v>57484063</v>
      </c>
      <c r="G1275" s="14">
        <v>35927540</v>
      </c>
      <c r="H1275">
        <f t="shared" si="38"/>
        <v>0</v>
      </c>
      <c r="I1275" s="20">
        <f t="shared" si="39"/>
        <v>44986</v>
      </c>
    </row>
    <row r="1276" spans="1:9" x14ac:dyDescent="0.2">
      <c r="A1276">
        <v>2023</v>
      </c>
      <c r="B1276">
        <v>3</v>
      </c>
      <c r="C1276" t="s">
        <v>62</v>
      </c>
      <c r="D1276" t="s">
        <v>60</v>
      </c>
      <c r="E1276" t="s">
        <v>63</v>
      </c>
      <c r="F1276" s="14">
        <v>56053671</v>
      </c>
      <c r="G1276" s="14">
        <v>32972748</v>
      </c>
      <c r="H1276">
        <f t="shared" si="38"/>
        <v>0</v>
      </c>
      <c r="I1276" s="20">
        <f t="shared" si="39"/>
        <v>44986</v>
      </c>
    </row>
    <row r="1277" spans="1:9" x14ac:dyDescent="0.2">
      <c r="A1277">
        <v>2023</v>
      </c>
      <c r="B1277">
        <v>3</v>
      </c>
      <c r="C1277" t="s">
        <v>62</v>
      </c>
      <c r="D1277" t="s">
        <v>60</v>
      </c>
      <c r="E1277" t="s">
        <v>76</v>
      </c>
      <c r="F1277" s="14">
        <v>4305698</v>
      </c>
      <c r="G1277" s="14">
        <v>2691061</v>
      </c>
      <c r="H1277">
        <f t="shared" si="38"/>
        <v>0</v>
      </c>
      <c r="I1277" s="20">
        <f t="shared" si="39"/>
        <v>44986</v>
      </c>
    </row>
    <row r="1278" spans="1:9" x14ac:dyDescent="0.2">
      <c r="A1278">
        <v>2023</v>
      </c>
      <c r="B1278">
        <v>3</v>
      </c>
      <c r="C1278" t="s">
        <v>62</v>
      </c>
      <c r="D1278" t="s">
        <v>60</v>
      </c>
      <c r="E1278" t="s">
        <v>65</v>
      </c>
      <c r="F1278" s="14">
        <v>2263418</v>
      </c>
      <c r="G1278" s="14">
        <v>1414636</v>
      </c>
      <c r="H1278">
        <f t="shared" si="38"/>
        <v>1</v>
      </c>
      <c r="I1278" s="20">
        <f t="shared" si="39"/>
        <v>44986</v>
      </c>
    </row>
    <row r="1279" spans="1:9" x14ac:dyDescent="0.2">
      <c r="A1279">
        <v>2023</v>
      </c>
      <c r="B1279">
        <v>3</v>
      </c>
      <c r="C1279" t="s">
        <v>55</v>
      </c>
      <c r="D1279" t="s">
        <v>60</v>
      </c>
      <c r="E1279" t="s">
        <v>65</v>
      </c>
      <c r="F1279" s="14">
        <v>1275472</v>
      </c>
      <c r="G1279" s="14">
        <v>797170</v>
      </c>
      <c r="H1279">
        <f t="shared" si="38"/>
        <v>1</v>
      </c>
      <c r="I1279" s="20">
        <f t="shared" si="39"/>
        <v>44986</v>
      </c>
    </row>
    <row r="1280" spans="1:9" x14ac:dyDescent="0.2">
      <c r="A1280">
        <v>2023</v>
      </c>
      <c r="B1280">
        <v>3</v>
      </c>
      <c r="C1280" t="s">
        <v>55</v>
      </c>
      <c r="D1280" t="s">
        <v>60</v>
      </c>
      <c r="E1280" t="s">
        <v>69</v>
      </c>
      <c r="F1280" s="14">
        <v>190560</v>
      </c>
      <c r="G1280" s="14">
        <v>119100</v>
      </c>
      <c r="H1280">
        <f t="shared" si="38"/>
        <v>0</v>
      </c>
      <c r="I1280" s="20">
        <f t="shared" si="39"/>
        <v>44986</v>
      </c>
    </row>
    <row r="1281" spans="1:9" x14ac:dyDescent="0.2">
      <c r="A1281">
        <v>2023</v>
      </c>
      <c r="B1281">
        <v>3</v>
      </c>
      <c r="C1281" t="s">
        <v>55</v>
      </c>
      <c r="D1281" t="s">
        <v>66</v>
      </c>
      <c r="E1281" t="s">
        <v>63</v>
      </c>
      <c r="F1281" s="14">
        <v>16637473</v>
      </c>
      <c r="G1281" s="14">
        <v>9786748</v>
      </c>
      <c r="H1281">
        <f t="shared" si="38"/>
        <v>0</v>
      </c>
      <c r="I1281" s="20">
        <f t="shared" si="39"/>
        <v>44986</v>
      </c>
    </row>
    <row r="1282" spans="1:9" x14ac:dyDescent="0.2">
      <c r="A1282">
        <v>2023</v>
      </c>
      <c r="B1282">
        <v>3</v>
      </c>
      <c r="C1282" t="s">
        <v>55</v>
      </c>
      <c r="D1282" t="s">
        <v>66</v>
      </c>
      <c r="E1282" t="s">
        <v>67</v>
      </c>
      <c r="F1282" s="14">
        <v>6458707</v>
      </c>
      <c r="G1282" s="14">
        <v>4305799</v>
      </c>
      <c r="H1282">
        <f t="shared" si="38"/>
        <v>0</v>
      </c>
      <c r="I1282" s="20">
        <f t="shared" si="39"/>
        <v>44986</v>
      </c>
    </row>
    <row r="1283" spans="1:9" x14ac:dyDescent="0.2">
      <c r="A1283">
        <v>2023</v>
      </c>
      <c r="B1283">
        <v>3</v>
      </c>
      <c r="C1283" t="s">
        <v>55</v>
      </c>
      <c r="D1283" t="s">
        <v>66</v>
      </c>
      <c r="E1283" t="s">
        <v>68</v>
      </c>
      <c r="F1283" s="14">
        <v>3125864</v>
      </c>
      <c r="G1283" s="14">
        <v>3125864</v>
      </c>
      <c r="H1283">
        <f t="shared" ref="H1283:H1346" si="40">--ISNUMBER(SEARCH("Jet Fuel",E1283))</f>
        <v>0</v>
      </c>
      <c r="I1283" s="20">
        <f t="shared" ref="I1283:I1346" si="41">DATE(A1283,B1283,1)</f>
        <v>44986</v>
      </c>
    </row>
    <row r="1284" spans="1:9" x14ac:dyDescent="0.2">
      <c r="A1284">
        <v>2023</v>
      </c>
      <c r="B1284">
        <v>3</v>
      </c>
      <c r="C1284" t="s">
        <v>55</v>
      </c>
      <c r="D1284" t="s">
        <v>66</v>
      </c>
      <c r="E1284" t="s">
        <v>74</v>
      </c>
      <c r="F1284" s="14">
        <v>595803</v>
      </c>
      <c r="G1284" s="14">
        <v>541639</v>
      </c>
      <c r="H1284">
        <f t="shared" si="40"/>
        <v>0</v>
      </c>
      <c r="I1284" s="20">
        <f t="shared" si="41"/>
        <v>44986</v>
      </c>
    </row>
    <row r="1285" spans="1:9" x14ac:dyDescent="0.2">
      <c r="A1285">
        <v>2023</v>
      </c>
      <c r="B1285">
        <v>3</v>
      </c>
      <c r="C1285" t="s">
        <v>55</v>
      </c>
      <c r="D1285" t="s">
        <v>66</v>
      </c>
      <c r="E1285" t="s">
        <v>69</v>
      </c>
      <c r="F1285" s="14">
        <v>497287</v>
      </c>
      <c r="G1285" s="14">
        <v>310805</v>
      </c>
      <c r="H1285">
        <f t="shared" si="40"/>
        <v>0</v>
      </c>
      <c r="I1285" s="20">
        <f t="shared" si="41"/>
        <v>44986</v>
      </c>
    </row>
    <row r="1286" spans="1:9" x14ac:dyDescent="0.2">
      <c r="A1286">
        <v>2023</v>
      </c>
      <c r="B1286">
        <v>3</v>
      </c>
      <c r="C1286" t="s">
        <v>55</v>
      </c>
      <c r="D1286" t="s">
        <v>66</v>
      </c>
      <c r="E1286" t="s">
        <v>75</v>
      </c>
      <c r="F1286" s="14">
        <v>121745</v>
      </c>
      <c r="G1286" s="14">
        <v>86961</v>
      </c>
      <c r="H1286">
        <f t="shared" si="40"/>
        <v>0</v>
      </c>
      <c r="I1286" s="20">
        <f t="shared" si="41"/>
        <v>44986</v>
      </c>
    </row>
    <row r="1287" spans="1:9" x14ac:dyDescent="0.2">
      <c r="A1287">
        <v>2023</v>
      </c>
      <c r="B1287">
        <v>3</v>
      </c>
      <c r="C1287" t="s">
        <v>55</v>
      </c>
      <c r="D1287" t="s">
        <v>66</v>
      </c>
      <c r="E1287" t="s">
        <v>59</v>
      </c>
      <c r="F1287" s="14">
        <v>20698</v>
      </c>
      <c r="G1287" s="14">
        <v>20698</v>
      </c>
      <c r="H1287">
        <f t="shared" si="40"/>
        <v>0</v>
      </c>
      <c r="I1287" s="20">
        <f t="shared" si="41"/>
        <v>44986</v>
      </c>
    </row>
    <row r="1288" spans="1:9" x14ac:dyDescent="0.2">
      <c r="A1288">
        <v>2023</v>
      </c>
      <c r="B1288">
        <v>3</v>
      </c>
      <c r="C1288" t="s">
        <v>55</v>
      </c>
      <c r="D1288" t="s">
        <v>70</v>
      </c>
      <c r="E1288" t="s">
        <v>68</v>
      </c>
      <c r="F1288" s="14">
        <v>1206945599</v>
      </c>
      <c r="G1288" s="14">
        <v>1206945599</v>
      </c>
      <c r="H1288">
        <f t="shared" si="40"/>
        <v>0</v>
      </c>
      <c r="I1288" s="20">
        <f t="shared" si="41"/>
        <v>44986</v>
      </c>
    </row>
    <row r="1289" spans="1:9" x14ac:dyDescent="0.2">
      <c r="A1289">
        <v>2023</v>
      </c>
      <c r="B1289">
        <v>3</v>
      </c>
      <c r="C1289" t="s">
        <v>62</v>
      </c>
      <c r="D1289" t="s">
        <v>70</v>
      </c>
      <c r="E1289" t="s">
        <v>63</v>
      </c>
      <c r="F1289" s="14">
        <v>13696092</v>
      </c>
      <c r="G1289" s="14">
        <v>8056525</v>
      </c>
      <c r="H1289">
        <f t="shared" si="40"/>
        <v>0</v>
      </c>
      <c r="I1289" s="20">
        <f t="shared" si="41"/>
        <v>44986</v>
      </c>
    </row>
    <row r="1290" spans="1:9" x14ac:dyDescent="0.2">
      <c r="A1290">
        <v>2023</v>
      </c>
      <c r="B1290">
        <v>3</v>
      </c>
      <c r="C1290" t="s">
        <v>64</v>
      </c>
      <c r="D1290" t="s">
        <v>70</v>
      </c>
      <c r="E1290" t="s">
        <v>68</v>
      </c>
      <c r="F1290" s="14">
        <v>1130698</v>
      </c>
      <c r="G1290" s="14">
        <v>1130698</v>
      </c>
      <c r="H1290">
        <f t="shared" si="40"/>
        <v>0</v>
      </c>
      <c r="I1290" s="20">
        <f t="shared" si="41"/>
        <v>44986</v>
      </c>
    </row>
    <row r="1291" spans="1:9" x14ac:dyDescent="0.2">
      <c r="A1291">
        <v>2023</v>
      </c>
      <c r="B1291">
        <v>4</v>
      </c>
      <c r="C1291" t="s">
        <v>55</v>
      </c>
      <c r="D1291" t="s">
        <v>56</v>
      </c>
      <c r="E1291" t="s">
        <v>59</v>
      </c>
      <c r="F1291" s="14">
        <v>55993236</v>
      </c>
      <c r="G1291" s="14">
        <v>55993236</v>
      </c>
      <c r="H1291">
        <f t="shared" si="40"/>
        <v>0</v>
      </c>
      <c r="I1291" s="20">
        <f t="shared" si="41"/>
        <v>45017</v>
      </c>
    </row>
    <row r="1292" spans="1:9" x14ac:dyDescent="0.2">
      <c r="A1292">
        <v>2023</v>
      </c>
      <c r="B1292">
        <v>4</v>
      </c>
      <c r="C1292" t="s">
        <v>55</v>
      </c>
      <c r="D1292" t="s">
        <v>56</v>
      </c>
      <c r="E1292" t="s">
        <v>58</v>
      </c>
      <c r="F1292" s="14">
        <v>4355847</v>
      </c>
      <c r="G1292" s="14">
        <v>4355847</v>
      </c>
      <c r="H1292">
        <f t="shared" si="40"/>
        <v>0</v>
      </c>
      <c r="I1292" s="20">
        <f t="shared" si="41"/>
        <v>45017</v>
      </c>
    </row>
    <row r="1293" spans="1:9" x14ac:dyDescent="0.2">
      <c r="A1293">
        <v>2023</v>
      </c>
      <c r="B1293">
        <v>4</v>
      </c>
      <c r="C1293" t="s">
        <v>64</v>
      </c>
      <c r="D1293" t="s">
        <v>56</v>
      </c>
      <c r="E1293" t="s">
        <v>58</v>
      </c>
      <c r="F1293" s="14">
        <v>3463427</v>
      </c>
      <c r="G1293" s="14">
        <v>3463427</v>
      </c>
      <c r="H1293">
        <f t="shared" si="40"/>
        <v>0</v>
      </c>
      <c r="I1293" s="20">
        <f t="shared" si="41"/>
        <v>45017</v>
      </c>
    </row>
    <row r="1294" spans="1:9" x14ac:dyDescent="0.2">
      <c r="A1294">
        <v>2023</v>
      </c>
      <c r="B1294">
        <v>4</v>
      </c>
      <c r="C1294" t="s">
        <v>64</v>
      </c>
      <c r="D1294" t="s">
        <v>56</v>
      </c>
      <c r="E1294" t="s">
        <v>59</v>
      </c>
      <c r="F1294" s="14">
        <v>201463</v>
      </c>
      <c r="G1294" s="14">
        <v>201463</v>
      </c>
      <c r="H1294">
        <f t="shared" si="40"/>
        <v>0</v>
      </c>
      <c r="I1294" s="20">
        <f t="shared" si="41"/>
        <v>45017</v>
      </c>
    </row>
    <row r="1295" spans="1:9" x14ac:dyDescent="0.2">
      <c r="A1295">
        <v>2023</v>
      </c>
      <c r="B1295">
        <v>4</v>
      </c>
      <c r="C1295" t="s">
        <v>55</v>
      </c>
      <c r="D1295" t="s">
        <v>60</v>
      </c>
      <c r="E1295" t="s">
        <v>63</v>
      </c>
      <c r="F1295" s="14">
        <v>230428408</v>
      </c>
      <c r="G1295" s="14">
        <v>135546066</v>
      </c>
      <c r="H1295">
        <f t="shared" si="40"/>
        <v>0</v>
      </c>
      <c r="I1295" s="20">
        <f t="shared" si="41"/>
        <v>45017</v>
      </c>
    </row>
    <row r="1296" spans="1:9" x14ac:dyDescent="0.2">
      <c r="A1296">
        <v>2023</v>
      </c>
      <c r="B1296">
        <v>4</v>
      </c>
      <c r="C1296" t="s">
        <v>55</v>
      </c>
      <c r="D1296" t="s">
        <v>60</v>
      </c>
      <c r="E1296" t="s">
        <v>61</v>
      </c>
      <c r="F1296" s="14">
        <v>200755805</v>
      </c>
      <c r="G1296" s="14">
        <v>133835520</v>
      </c>
      <c r="H1296">
        <f t="shared" si="40"/>
        <v>0</v>
      </c>
      <c r="I1296" s="20">
        <f t="shared" si="41"/>
        <v>45017</v>
      </c>
    </row>
    <row r="1297" spans="1:9" x14ac:dyDescent="0.2">
      <c r="A1297">
        <v>2023</v>
      </c>
      <c r="B1297">
        <v>4</v>
      </c>
      <c r="C1297" t="s">
        <v>62</v>
      </c>
      <c r="D1297" t="s">
        <v>60</v>
      </c>
      <c r="E1297" t="s">
        <v>63</v>
      </c>
      <c r="F1297" s="14">
        <v>57638660</v>
      </c>
      <c r="G1297" s="14">
        <v>33905094</v>
      </c>
      <c r="H1297">
        <f t="shared" si="40"/>
        <v>0</v>
      </c>
      <c r="I1297" s="20">
        <f t="shared" si="41"/>
        <v>45017</v>
      </c>
    </row>
    <row r="1298" spans="1:9" x14ac:dyDescent="0.2">
      <c r="A1298">
        <v>2023</v>
      </c>
      <c r="B1298">
        <v>4</v>
      </c>
      <c r="C1298" t="s">
        <v>55</v>
      </c>
      <c r="D1298" t="s">
        <v>60</v>
      </c>
      <c r="E1298" t="s">
        <v>76</v>
      </c>
      <c r="F1298" s="14">
        <v>54359466</v>
      </c>
      <c r="G1298" s="14">
        <v>33974667</v>
      </c>
      <c r="H1298">
        <f t="shared" si="40"/>
        <v>0</v>
      </c>
      <c r="I1298" s="20">
        <f t="shared" si="41"/>
        <v>45017</v>
      </c>
    </row>
    <row r="1299" spans="1:9" x14ac:dyDescent="0.2">
      <c r="A1299">
        <v>2023</v>
      </c>
      <c r="B1299">
        <v>4</v>
      </c>
      <c r="C1299" t="s">
        <v>64</v>
      </c>
      <c r="D1299" t="s">
        <v>60</v>
      </c>
      <c r="E1299" t="s">
        <v>61</v>
      </c>
      <c r="F1299" s="14">
        <v>52446720</v>
      </c>
      <c r="G1299" s="14">
        <v>34964458</v>
      </c>
      <c r="H1299">
        <f t="shared" si="40"/>
        <v>0</v>
      </c>
      <c r="I1299" s="20">
        <f t="shared" si="41"/>
        <v>45017</v>
      </c>
    </row>
    <row r="1300" spans="1:9" x14ac:dyDescent="0.2">
      <c r="A1300">
        <v>2023</v>
      </c>
      <c r="B1300">
        <v>4</v>
      </c>
      <c r="C1300" t="s">
        <v>62</v>
      </c>
      <c r="D1300" t="s">
        <v>60</v>
      </c>
      <c r="E1300" t="s">
        <v>76</v>
      </c>
      <c r="F1300" s="14">
        <v>4065803</v>
      </c>
      <c r="G1300" s="14">
        <v>2541127</v>
      </c>
      <c r="H1300">
        <f t="shared" si="40"/>
        <v>0</v>
      </c>
      <c r="I1300" s="20">
        <f t="shared" si="41"/>
        <v>45017</v>
      </c>
    </row>
    <row r="1301" spans="1:9" x14ac:dyDescent="0.2">
      <c r="A1301">
        <v>2023</v>
      </c>
      <c r="B1301">
        <v>4</v>
      </c>
      <c r="C1301" t="s">
        <v>62</v>
      </c>
      <c r="D1301" t="s">
        <v>60</v>
      </c>
      <c r="E1301" t="s">
        <v>65</v>
      </c>
      <c r="F1301" s="14">
        <v>2236686</v>
      </c>
      <c r="G1301" s="14">
        <v>1397929</v>
      </c>
      <c r="H1301">
        <f t="shared" si="40"/>
        <v>1</v>
      </c>
      <c r="I1301" s="20">
        <f t="shared" si="41"/>
        <v>45017</v>
      </c>
    </row>
    <row r="1302" spans="1:9" x14ac:dyDescent="0.2">
      <c r="A1302">
        <v>2023</v>
      </c>
      <c r="B1302">
        <v>4</v>
      </c>
      <c r="C1302" t="s">
        <v>55</v>
      </c>
      <c r="D1302" t="s">
        <v>60</v>
      </c>
      <c r="E1302" t="s">
        <v>65</v>
      </c>
      <c r="F1302" s="14">
        <v>1461634</v>
      </c>
      <c r="G1302" s="14">
        <v>913521</v>
      </c>
      <c r="H1302">
        <f t="shared" si="40"/>
        <v>1</v>
      </c>
      <c r="I1302" s="20">
        <f t="shared" si="41"/>
        <v>45017</v>
      </c>
    </row>
    <row r="1303" spans="1:9" x14ac:dyDescent="0.2">
      <c r="A1303">
        <v>2023</v>
      </c>
      <c r="B1303">
        <v>4</v>
      </c>
      <c r="C1303" t="s">
        <v>55</v>
      </c>
      <c r="D1303" t="s">
        <v>60</v>
      </c>
      <c r="E1303" t="s">
        <v>69</v>
      </c>
      <c r="F1303" s="14">
        <v>146317</v>
      </c>
      <c r="G1303" s="14">
        <v>91448</v>
      </c>
      <c r="H1303">
        <f t="shared" si="40"/>
        <v>0</v>
      </c>
      <c r="I1303" s="20">
        <f t="shared" si="41"/>
        <v>45017</v>
      </c>
    </row>
    <row r="1304" spans="1:9" x14ac:dyDescent="0.2">
      <c r="A1304">
        <v>2023</v>
      </c>
      <c r="B1304">
        <v>4</v>
      </c>
      <c r="C1304" t="s">
        <v>55</v>
      </c>
      <c r="D1304" t="s">
        <v>66</v>
      </c>
      <c r="E1304" t="s">
        <v>63</v>
      </c>
      <c r="F1304" s="14">
        <v>8307574</v>
      </c>
      <c r="G1304" s="14">
        <v>4886807</v>
      </c>
      <c r="H1304">
        <f t="shared" si="40"/>
        <v>0</v>
      </c>
      <c r="I1304" s="20">
        <f t="shared" si="41"/>
        <v>45017</v>
      </c>
    </row>
    <row r="1305" spans="1:9" x14ac:dyDescent="0.2">
      <c r="A1305">
        <v>2023</v>
      </c>
      <c r="B1305">
        <v>4</v>
      </c>
      <c r="C1305" t="s">
        <v>55</v>
      </c>
      <c r="D1305" t="s">
        <v>66</v>
      </c>
      <c r="E1305" t="s">
        <v>67</v>
      </c>
      <c r="F1305" s="14">
        <v>5997515</v>
      </c>
      <c r="G1305" s="14">
        <v>3998333</v>
      </c>
      <c r="H1305">
        <f t="shared" si="40"/>
        <v>0</v>
      </c>
      <c r="I1305" s="20">
        <f t="shared" si="41"/>
        <v>45017</v>
      </c>
    </row>
    <row r="1306" spans="1:9" x14ac:dyDescent="0.2">
      <c r="A1306">
        <v>2023</v>
      </c>
      <c r="B1306">
        <v>4</v>
      </c>
      <c r="C1306" t="s">
        <v>55</v>
      </c>
      <c r="D1306" t="s">
        <v>66</v>
      </c>
      <c r="E1306" t="s">
        <v>68</v>
      </c>
      <c r="F1306" s="14">
        <v>2058614</v>
      </c>
      <c r="G1306" s="14">
        <v>2058614</v>
      </c>
      <c r="H1306">
        <f t="shared" si="40"/>
        <v>0</v>
      </c>
      <c r="I1306" s="20">
        <f t="shared" si="41"/>
        <v>45017</v>
      </c>
    </row>
    <row r="1307" spans="1:9" x14ac:dyDescent="0.2">
      <c r="A1307">
        <v>2023</v>
      </c>
      <c r="B1307">
        <v>4</v>
      </c>
      <c r="C1307" t="s">
        <v>55</v>
      </c>
      <c r="D1307" t="s">
        <v>66</v>
      </c>
      <c r="E1307" t="s">
        <v>59</v>
      </c>
      <c r="F1307" s="14">
        <v>586374</v>
      </c>
      <c r="G1307" s="14">
        <v>586374</v>
      </c>
      <c r="H1307">
        <f t="shared" si="40"/>
        <v>0</v>
      </c>
      <c r="I1307" s="20">
        <f t="shared" si="41"/>
        <v>45017</v>
      </c>
    </row>
    <row r="1308" spans="1:9" x14ac:dyDescent="0.2">
      <c r="A1308">
        <v>2023</v>
      </c>
      <c r="B1308">
        <v>4</v>
      </c>
      <c r="C1308" t="s">
        <v>55</v>
      </c>
      <c r="D1308" t="s">
        <v>66</v>
      </c>
      <c r="E1308" t="s">
        <v>69</v>
      </c>
      <c r="F1308" s="14">
        <v>521201</v>
      </c>
      <c r="G1308" s="14">
        <v>325750</v>
      </c>
      <c r="H1308">
        <f t="shared" si="40"/>
        <v>0</v>
      </c>
      <c r="I1308" s="20">
        <f t="shared" si="41"/>
        <v>45017</v>
      </c>
    </row>
    <row r="1309" spans="1:9" x14ac:dyDescent="0.2">
      <c r="A1309">
        <v>2023</v>
      </c>
      <c r="B1309">
        <v>4</v>
      </c>
      <c r="C1309" t="s">
        <v>55</v>
      </c>
      <c r="D1309" t="s">
        <v>66</v>
      </c>
      <c r="E1309" t="s">
        <v>74</v>
      </c>
      <c r="F1309" s="14">
        <v>346474</v>
      </c>
      <c r="G1309" s="14">
        <v>314976</v>
      </c>
      <c r="H1309">
        <f t="shared" si="40"/>
        <v>0</v>
      </c>
      <c r="I1309" s="20">
        <f t="shared" si="41"/>
        <v>45017</v>
      </c>
    </row>
    <row r="1310" spans="1:9" x14ac:dyDescent="0.2">
      <c r="A1310">
        <v>2023</v>
      </c>
      <c r="B1310">
        <v>4</v>
      </c>
      <c r="C1310" t="s">
        <v>55</v>
      </c>
      <c r="D1310" t="s">
        <v>66</v>
      </c>
      <c r="E1310" t="s">
        <v>75</v>
      </c>
      <c r="F1310" s="14">
        <v>211791</v>
      </c>
      <c r="G1310" s="14">
        <v>151279</v>
      </c>
      <c r="H1310">
        <f t="shared" si="40"/>
        <v>0</v>
      </c>
      <c r="I1310" s="20">
        <f t="shared" si="41"/>
        <v>45017</v>
      </c>
    </row>
    <row r="1311" spans="1:9" x14ac:dyDescent="0.2">
      <c r="A1311">
        <v>2023</v>
      </c>
      <c r="B1311">
        <v>4</v>
      </c>
      <c r="C1311" t="s">
        <v>55</v>
      </c>
      <c r="D1311" t="s">
        <v>70</v>
      </c>
      <c r="E1311" t="s">
        <v>68</v>
      </c>
      <c r="F1311" s="14">
        <v>1138784376</v>
      </c>
      <c r="G1311" s="14">
        <v>1138784376</v>
      </c>
      <c r="H1311">
        <f t="shared" si="40"/>
        <v>0</v>
      </c>
      <c r="I1311" s="20">
        <f t="shared" si="41"/>
        <v>45017</v>
      </c>
    </row>
    <row r="1312" spans="1:9" x14ac:dyDescent="0.2">
      <c r="A1312">
        <v>2023</v>
      </c>
      <c r="B1312">
        <v>4</v>
      </c>
      <c r="C1312" t="s">
        <v>62</v>
      </c>
      <c r="D1312" t="s">
        <v>70</v>
      </c>
      <c r="E1312" t="s">
        <v>63</v>
      </c>
      <c r="F1312" s="14">
        <v>16671195</v>
      </c>
      <c r="G1312" s="14">
        <v>9806585</v>
      </c>
      <c r="H1312">
        <f t="shared" si="40"/>
        <v>0</v>
      </c>
      <c r="I1312" s="20">
        <f t="shared" si="41"/>
        <v>45017</v>
      </c>
    </row>
    <row r="1313" spans="1:9" x14ac:dyDescent="0.2">
      <c r="A1313">
        <v>2023</v>
      </c>
      <c r="B1313">
        <v>4</v>
      </c>
      <c r="C1313" t="s">
        <v>64</v>
      </c>
      <c r="D1313" t="s">
        <v>70</v>
      </c>
      <c r="E1313" t="s">
        <v>68</v>
      </c>
      <c r="F1313" s="14">
        <v>1063202</v>
      </c>
      <c r="G1313" s="14">
        <v>1063202</v>
      </c>
      <c r="H1313">
        <f t="shared" si="40"/>
        <v>0</v>
      </c>
      <c r="I1313" s="20">
        <f t="shared" si="41"/>
        <v>45017</v>
      </c>
    </row>
    <row r="1314" spans="1:9" x14ac:dyDescent="0.2">
      <c r="A1314">
        <v>2023</v>
      </c>
      <c r="B1314">
        <v>4</v>
      </c>
      <c r="C1314" t="s">
        <v>64</v>
      </c>
      <c r="D1314" t="s">
        <v>71</v>
      </c>
      <c r="E1314" t="s">
        <v>72</v>
      </c>
      <c r="F1314" s="14">
        <v>69961</v>
      </c>
      <c r="G1314" s="14">
        <v>69961</v>
      </c>
      <c r="H1314">
        <f t="shared" si="40"/>
        <v>0</v>
      </c>
      <c r="I1314" s="20">
        <f t="shared" si="41"/>
        <v>45017</v>
      </c>
    </row>
    <row r="1315" spans="1:9" x14ac:dyDescent="0.2">
      <c r="A1315">
        <v>2023</v>
      </c>
      <c r="B1315">
        <v>5</v>
      </c>
      <c r="C1315" t="s">
        <v>55</v>
      </c>
      <c r="D1315" t="s">
        <v>56</v>
      </c>
      <c r="E1315" t="s">
        <v>59</v>
      </c>
      <c r="F1315" s="14">
        <v>54037078</v>
      </c>
      <c r="G1315" s="14">
        <v>54037078</v>
      </c>
      <c r="H1315">
        <f t="shared" si="40"/>
        <v>0</v>
      </c>
      <c r="I1315" s="20">
        <f t="shared" si="41"/>
        <v>45047</v>
      </c>
    </row>
    <row r="1316" spans="1:9" x14ac:dyDescent="0.2">
      <c r="A1316">
        <v>2023</v>
      </c>
      <c r="B1316">
        <v>5</v>
      </c>
      <c r="C1316" t="s">
        <v>55</v>
      </c>
      <c r="D1316" t="s">
        <v>56</v>
      </c>
      <c r="E1316" t="s">
        <v>58</v>
      </c>
      <c r="F1316" s="14">
        <v>3377657</v>
      </c>
      <c r="G1316" s="14">
        <v>3377657</v>
      </c>
      <c r="H1316">
        <f t="shared" si="40"/>
        <v>0</v>
      </c>
      <c r="I1316" s="20">
        <f t="shared" si="41"/>
        <v>45047</v>
      </c>
    </row>
    <row r="1317" spans="1:9" x14ac:dyDescent="0.2">
      <c r="A1317">
        <v>2023</v>
      </c>
      <c r="B1317">
        <v>5</v>
      </c>
      <c r="C1317" t="s">
        <v>64</v>
      </c>
      <c r="D1317" t="s">
        <v>56</v>
      </c>
      <c r="E1317" t="s">
        <v>58</v>
      </c>
      <c r="F1317" s="14">
        <v>3178619</v>
      </c>
      <c r="G1317" s="14">
        <v>3178619</v>
      </c>
      <c r="H1317">
        <f t="shared" si="40"/>
        <v>0</v>
      </c>
      <c r="I1317" s="20">
        <f t="shared" si="41"/>
        <v>45047</v>
      </c>
    </row>
    <row r="1318" spans="1:9" x14ac:dyDescent="0.2">
      <c r="A1318">
        <v>2023</v>
      </c>
      <c r="B1318">
        <v>5</v>
      </c>
      <c r="C1318" t="s">
        <v>64</v>
      </c>
      <c r="D1318" t="s">
        <v>56</v>
      </c>
      <c r="E1318" t="s">
        <v>59</v>
      </c>
      <c r="F1318" s="14">
        <v>350915</v>
      </c>
      <c r="G1318" s="14">
        <v>350915</v>
      </c>
      <c r="H1318">
        <f t="shared" si="40"/>
        <v>0</v>
      </c>
      <c r="I1318" s="20">
        <f t="shared" si="41"/>
        <v>45047</v>
      </c>
    </row>
    <row r="1319" spans="1:9" x14ac:dyDescent="0.2">
      <c r="A1319">
        <v>2023</v>
      </c>
      <c r="B1319">
        <v>5</v>
      </c>
      <c r="C1319" t="s">
        <v>55</v>
      </c>
      <c r="D1319" t="s">
        <v>56</v>
      </c>
      <c r="E1319" t="s">
        <v>57</v>
      </c>
      <c r="F1319" s="14">
        <v>228934</v>
      </c>
      <c r="G1319" s="14">
        <v>228934</v>
      </c>
      <c r="H1319">
        <f t="shared" si="40"/>
        <v>0</v>
      </c>
      <c r="I1319" s="20">
        <f t="shared" si="41"/>
        <v>45047</v>
      </c>
    </row>
    <row r="1320" spans="1:9" x14ac:dyDescent="0.2">
      <c r="A1320">
        <v>2023</v>
      </c>
      <c r="B1320">
        <v>5</v>
      </c>
      <c r="C1320" t="s">
        <v>55</v>
      </c>
      <c r="D1320" t="s">
        <v>60</v>
      </c>
      <c r="E1320" t="s">
        <v>63</v>
      </c>
      <c r="F1320" s="14">
        <v>285104880</v>
      </c>
      <c r="G1320" s="14">
        <v>167708654</v>
      </c>
      <c r="H1320">
        <f t="shared" si="40"/>
        <v>0</v>
      </c>
      <c r="I1320" s="20">
        <f t="shared" si="41"/>
        <v>45047</v>
      </c>
    </row>
    <row r="1321" spans="1:9" x14ac:dyDescent="0.2">
      <c r="A1321">
        <v>2023</v>
      </c>
      <c r="B1321">
        <v>5</v>
      </c>
      <c r="C1321" t="s">
        <v>55</v>
      </c>
      <c r="D1321" t="s">
        <v>60</v>
      </c>
      <c r="E1321" t="s">
        <v>61</v>
      </c>
      <c r="F1321" s="14">
        <v>245393401</v>
      </c>
      <c r="G1321" s="14">
        <v>163593541</v>
      </c>
      <c r="H1321">
        <f t="shared" si="40"/>
        <v>0</v>
      </c>
      <c r="I1321" s="20">
        <f t="shared" si="41"/>
        <v>45047</v>
      </c>
    </row>
    <row r="1322" spans="1:9" x14ac:dyDescent="0.2">
      <c r="A1322">
        <v>2023</v>
      </c>
      <c r="B1322">
        <v>5</v>
      </c>
      <c r="C1322" t="s">
        <v>55</v>
      </c>
      <c r="D1322" t="s">
        <v>60</v>
      </c>
      <c r="E1322" t="s">
        <v>76</v>
      </c>
      <c r="F1322" s="14">
        <v>87065185</v>
      </c>
      <c r="G1322" s="14">
        <v>54415742</v>
      </c>
      <c r="H1322">
        <f t="shared" si="40"/>
        <v>0</v>
      </c>
      <c r="I1322" s="20">
        <f t="shared" si="41"/>
        <v>45047</v>
      </c>
    </row>
    <row r="1323" spans="1:9" x14ac:dyDescent="0.2">
      <c r="A1323">
        <v>2023</v>
      </c>
      <c r="B1323">
        <v>5</v>
      </c>
      <c r="C1323" t="s">
        <v>62</v>
      </c>
      <c r="D1323" t="s">
        <v>60</v>
      </c>
      <c r="E1323" t="s">
        <v>63</v>
      </c>
      <c r="F1323" s="14">
        <v>71738877</v>
      </c>
      <c r="G1323" s="14">
        <v>42199340</v>
      </c>
      <c r="H1323">
        <f t="shared" si="40"/>
        <v>0</v>
      </c>
      <c r="I1323" s="20">
        <f t="shared" si="41"/>
        <v>45047</v>
      </c>
    </row>
    <row r="1324" spans="1:9" x14ac:dyDescent="0.2">
      <c r="A1324">
        <v>2023</v>
      </c>
      <c r="B1324">
        <v>5</v>
      </c>
      <c r="C1324" t="s">
        <v>64</v>
      </c>
      <c r="D1324" t="s">
        <v>60</v>
      </c>
      <c r="E1324" t="s">
        <v>61</v>
      </c>
      <c r="F1324" s="14">
        <v>59129807</v>
      </c>
      <c r="G1324" s="14">
        <v>39419838</v>
      </c>
      <c r="H1324">
        <f t="shared" si="40"/>
        <v>0</v>
      </c>
      <c r="I1324" s="20">
        <f t="shared" si="41"/>
        <v>45047</v>
      </c>
    </row>
    <row r="1325" spans="1:9" x14ac:dyDescent="0.2">
      <c r="A1325">
        <v>2023</v>
      </c>
      <c r="B1325">
        <v>5</v>
      </c>
      <c r="C1325" t="s">
        <v>55</v>
      </c>
      <c r="D1325" t="s">
        <v>60</v>
      </c>
      <c r="E1325" t="s">
        <v>65</v>
      </c>
      <c r="F1325" s="14">
        <v>2602744</v>
      </c>
      <c r="G1325" s="14">
        <v>1626715</v>
      </c>
      <c r="H1325">
        <f t="shared" si="40"/>
        <v>1</v>
      </c>
      <c r="I1325" s="20">
        <f t="shared" si="41"/>
        <v>45047</v>
      </c>
    </row>
    <row r="1326" spans="1:9" x14ac:dyDescent="0.2">
      <c r="A1326">
        <v>2023</v>
      </c>
      <c r="B1326">
        <v>5</v>
      </c>
      <c r="C1326" t="s">
        <v>55</v>
      </c>
      <c r="D1326" t="s">
        <v>66</v>
      </c>
      <c r="E1326" t="s">
        <v>63</v>
      </c>
      <c r="F1326" s="14">
        <v>12139595</v>
      </c>
      <c r="G1326" s="14">
        <v>7140938</v>
      </c>
      <c r="H1326">
        <f t="shared" si="40"/>
        <v>0</v>
      </c>
      <c r="I1326" s="20">
        <f t="shared" si="41"/>
        <v>45047</v>
      </c>
    </row>
    <row r="1327" spans="1:9" x14ac:dyDescent="0.2">
      <c r="A1327">
        <v>2023</v>
      </c>
      <c r="B1327">
        <v>5</v>
      </c>
      <c r="C1327" t="s">
        <v>55</v>
      </c>
      <c r="D1327" t="s">
        <v>66</v>
      </c>
      <c r="E1327" t="s">
        <v>67</v>
      </c>
      <c r="F1327" s="14">
        <v>7563336</v>
      </c>
      <c r="G1327" s="14">
        <v>5042214</v>
      </c>
      <c r="H1327">
        <f t="shared" si="40"/>
        <v>0</v>
      </c>
      <c r="I1327" s="20">
        <f t="shared" si="41"/>
        <v>45047</v>
      </c>
    </row>
    <row r="1328" spans="1:9" x14ac:dyDescent="0.2">
      <c r="A1328">
        <v>2023</v>
      </c>
      <c r="B1328">
        <v>5</v>
      </c>
      <c r="C1328" t="s">
        <v>55</v>
      </c>
      <c r="D1328" t="s">
        <v>66</v>
      </c>
      <c r="E1328" t="s">
        <v>68</v>
      </c>
      <c r="F1328" s="14">
        <v>2737856</v>
      </c>
      <c r="G1328" s="14">
        <v>2737856</v>
      </c>
      <c r="H1328">
        <f t="shared" si="40"/>
        <v>0</v>
      </c>
      <c r="I1328" s="20">
        <f t="shared" si="41"/>
        <v>45047</v>
      </c>
    </row>
    <row r="1329" spans="1:9" x14ac:dyDescent="0.2">
      <c r="A1329">
        <v>2023</v>
      </c>
      <c r="B1329">
        <v>5</v>
      </c>
      <c r="C1329" t="s">
        <v>55</v>
      </c>
      <c r="D1329" t="s">
        <v>66</v>
      </c>
      <c r="E1329" t="s">
        <v>74</v>
      </c>
      <c r="F1329" s="14">
        <v>724477</v>
      </c>
      <c r="G1329" s="14">
        <v>658616</v>
      </c>
      <c r="H1329">
        <f t="shared" si="40"/>
        <v>0</v>
      </c>
      <c r="I1329" s="20">
        <f t="shared" si="41"/>
        <v>45047</v>
      </c>
    </row>
    <row r="1330" spans="1:9" x14ac:dyDescent="0.2">
      <c r="A1330">
        <v>2023</v>
      </c>
      <c r="B1330">
        <v>5</v>
      </c>
      <c r="C1330" t="s">
        <v>55</v>
      </c>
      <c r="D1330" t="s">
        <v>66</v>
      </c>
      <c r="E1330" t="s">
        <v>69</v>
      </c>
      <c r="F1330" s="14">
        <v>342109</v>
      </c>
      <c r="G1330" s="14">
        <v>213817</v>
      </c>
      <c r="H1330">
        <f t="shared" si="40"/>
        <v>0</v>
      </c>
      <c r="I1330" s="20">
        <f t="shared" si="41"/>
        <v>45047</v>
      </c>
    </row>
    <row r="1331" spans="1:9" x14ac:dyDescent="0.2">
      <c r="A1331">
        <v>2023</v>
      </c>
      <c r="B1331">
        <v>5</v>
      </c>
      <c r="C1331" t="s">
        <v>55</v>
      </c>
      <c r="D1331" t="s">
        <v>66</v>
      </c>
      <c r="E1331" t="s">
        <v>75</v>
      </c>
      <c r="F1331" s="14">
        <v>116886</v>
      </c>
      <c r="G1331" s="14">
        <v>83490</v>
      </c>
      <c r="H1331">
        <f t="shared" si="40"/>
        <v>0</v>
      </c>
      <c r="I1331" s="20">
        <f t="shared" si="41"/>
        <v>45047</v>
      </c>
    </row>
    <row r="1332" spans="1:9" x14ac:dyDescent="0.2">
      <c r="A1332">
        <v>2023</v>
      </c>
      <c r="B1332">
        <v>5</v>
      </c>
      <c r="C1332" t="s">
        <v>55</v>
      </c>
      <c r="D1332" t="s">
        <v>66</v>
      </c>
      <c r="E1332" t="s">
        <v>59</v>
      </c>
      <c r="F1332" s="14">
        <v>84107</v>
      </c>
      <c r="G1332" s="14">
        <v>84107</v>
      </c>
      <c r="H1332">
        <f t="shared" si="40"/>
        <v>0</v>
      </c>
      <c r="I1332" s="20">
        <f t="shared" si="41"/>
        <v>45047</v>
      </c>
    </row>
    <row r="1333" spans="1:9" x14ac:dyDescent="0.2">
      <c r="A1333">
        <v>2023</v>
      </c>
      <c r="B1333">
        <v>5</v>
      </c>
      <c r="C1333" t="s">
        <v>55</v>
      </c>
      <c r="D1333" t="s">
        <v>70</v>
      </c>
      <c r="E1333" t="s">
        <v>68</v>
      </c>
      <c r="F1333" s="14">
        <v>1254369137</v>
      </c>
      <c r="G1333" s="14">
        <v>1254369137</v>
      </c>
      <c r="H1333">
        <f t="shared" si="40"/>
        <v>0</v>
      </c>
      <c r="I1333" s="20">
        <f t="shared" si="41"/>
        <v>45047</v>
      </c>
    </row>
    <row r="1334" spans="1:9" x14ac:dyDescent="0.2">
      <c r="A1334">
        <v>2023</v>
      </c>
      <c r="B1334">
        <v>5</v>
      </c>
      <c r="C1334" t="s">
        <v>62</v>
      </c>
      <c r="D1334" t="s">
        <v>70</v>
      </c>
      <c r="E1334" t="s">
        <v>63</v>
      </c>
      <c r="F1334" s="14">
        <v>23050598</v>
      </c>
      <c r="G1334" s="14">
        <v>13559175</v>
      </c>
      <c r="H1334">
        <f t="shared" si="40"/>
        <v>0</v>
      </c>
      <c r="I1334" s="20">
        <f t="shared" si="41"/>
        <v>45047</v>
      </c>
    </row>
    <row r="1335" spans="1:9" x14ac:dyDescent="0.2">
      <c r="A1335">
        <v>2023</v>
      </c>
      <c r="B1335">
        <v>5</v>
      </c>
      <c r="C1335" t="s">
        <v>64</v>
      </c>
      <c r="D1335" t="s">
        <v>70</v>
      </c>
      <c r="E1335" t="s">
        <v>68</v>
      </c>
      <c r="F1335" s="14">
        <v>1270046</v>
      </c>
      <c r="G1335" s="14">
        <v>1270046</v>
      </c>
      <c r="H1335">
        <f t="shared" si="40"/>
        <v>0</v>
      </c>
      <c r="I1335" s="20">
        <f t="shared" si="41"/>
        <v>45047</v>
      </c>
    </row>
    <row r="1336" spans="1:9" x14ac:dyDescent="0.2">
      <c r="A1336">
        <v>2023</v>
      </c>
      <c r="B1336">
        <v>5</v>
      </c>
      <c r="C1336" t="s">
        <v>64</v>
      </c>
      <c r="D1336" t="s">
        <v>71</v>
      </c>
      <c r="E1336" t="s">
        <v>72</v>
      </c>
      <c r="F1336" s="14">
        <v>43465</v>
      </c>
      <c r="G1336" s="14">
        <v>43465</v>
      </c>
      <c r="H1336">
        <f t="shared" si="40"/>
        <v>0</v>
      </c>
      <c r="I1336" s="20">
        <f t="shared" si="41"/>
        <v>45047</v>
      </c>
    </row>
    <row r="1337" spans="1:9" x14ac:dyDescent="0.2">
      <c r="A1337">
        <v>2023</v>
      </c>
      <c r="B1337">
        <v>6</v>
      </c>
      <c r="C1337" t="s">
        <v>55</v>
      </c>
      <c r="D1337" t="s">
        <v>56</v>
      </c>
      <c r="E1337" t="s">
        <v>59</v>
      </c>
      <c r="F1337" s="14">
        <v>61040669</v>
      </c>
      <c r="G1337" s="14">
        <v>61040669</v>
      </c>
      <c r="H1337">
        <f t="shared" si="40"/>
        <v>0</v>
      </c>
      <c r="I1337" s="20">
        <f t="shared" si="41"/>
        <v>45078</v>
      </c>
    </row>
    <row r="1338" spans="1:9" x14ac:dyDescent="0.2">
      <c r="A1338">
        <v>2023</v>
      </c>
      <c r="B1338">
        <v>6</v>
      </c>
      <c r="C1338" t="s">
        <v>55</v>
      </c>
      <c r="D1338" t="s">
        <v>56</v>
      </c>
      <c r="E1338" t="s">
        <v>58</v>
      </c>
      <c r="F1338" s="14">
        <v>6132138</v>
      </c>
      <c r="G1338" s="14">
        <v>6132138</v>
      </c>
      <c r="H1338">
        <f t="shared" si="40"/>
        <v>0</v>
      </c>
      <c r="I1338" s="20">
        <f t="shared" si="41"/>
        <v>45078</v>
      </c>
    </row>
    <row r="1339" spans="1:9" x14ac:dyDescent="0.2">
      <c r="A1339">
        <v>2023</v>
      </c>
      <c r="B1339">
        <v>6</v>
      </c>
      <c r="C1339" t="s">
        <v>64</v>
      </c>
      <c r="D1339" t="s">
        <v>56</v>
      </c>
      <c r="E1339" t="s">
        <v>58</v>
      </c>
      <c r="F1339" s="14">
        <v>1843070</v>
      </c>
      <c r="G1339" s="14">
        <v>1843070</v>
      </c>
      <c r="H1339">
        <f t="shared" si="40"/>
        <v>0</v>
      </c>
      <c r="I1339" s="20">
        <f t="shared" si="41"/>
        <v>45078</v>
      </c>
    </row>
    <row r="1340" spans="1:9" x14ac:dyDescent="0.2">
      <c r="A1340">
        <v>2023</v>
      </c>
      <c r="B1340">
        <v>6</v>
      </c>
      <c r="C1340" t="s">
        <v>64</v>
      </c>
      <c r="D1340" t="s">
        <v>56</v>
      </c>
      <c r="E1340" t="s">
        <v>59</v>
      </c>
      <c r="F1340" s="14">
        <v>1769716</v>
      </c>
      <c r="G1340" s="14">
        <v>1769716</v>
      </c>
      <c r="H1340">
        <f t="shared" si="40"/>
        <v>0</v>
      </c>
      <c r="I1340" s="20">
        <f t="shared" si="41"/>
        <v>45078</v>
      </c>
    </row>
    <row r="1341" spans="1:9" x14ac:dyDescent="0.2">
      <c r="A1341">
        <v>2023</v>
      </c>
      <c r="B1341">
        <v>6</v>
      </c>
      <c r="C1341" t="s">
        <v>55</v>
      </c>
      <c r="D1341" t="s">
        <v>60</v>
      </c>
      <c r="E1341" t="s">
        <v>63</v>
      </c>
      <c r="F1341" s="14">
        <v>256959307</v>
      </c>
      <c r="G1341" s="14">
        <v>151152485</v>
      </c>
      <c r="H1341">
        <f t="shared" si="40"/>
        <v>0</v>
      </c>
      <c r="I1341" s="20">
        <f t="shared" si="41"/>
        <v>45078</v>
      </c>
    </row>
    <row r="1342" spans="1:9" x14ac:dyDescent="0.2">
      <c r="A1342">
        <v>2023</v>
      </c>
      <c r="B1342">
        <v>6</v>
      </c>
      <c r="C1342" t="s">
        <v>55</v>
      </c>
      <c r="D1342" t="s">
        <v>60</v>
      </c>
      <c r="E1342" t="s">
        <v>61</v>
      </c>
      <c r="F1342" s="14">
        <v>231341706</v>
      </c>
      <c r="G1342" s="14">
        <v>154225883</v>
      </c>
      <c r="H1342">
        <f t="shared" si="40"/>
        <v>0</v>
      </c>
      <c r="I1342" s="20">
        <f t="shared" si="41"/>
        <v>45078</v>
      </c>
    </row>
    <row r="1343" spans="1:9" x14ac:dyDescent="0.2">
      <c r="A1343">
        <v>2023</v>
      </c>
      <c r="B1343">
        <v>6</v>
      </c>
      <c r="C1343" t="s">
        <v>55</v>
      </c>
      <c r="D1343" t="s">
        <v>60</v>
      </c>
      <c r="E1343" t="s">
        <v>76</v>
      </c>
      <c r="F1343" s="14">
        <v>66469040</v>
      </c>
      <c r="G1343" s="14">
        <v>41543150</v>
      </c>
      <c r="H1343">
        <f t="shared" si="40"/>
        <v>0</v>
      </c>
      <c r="I1343" s="20">
        <f t="shared" si="41"/>
        <v>45078</v>
      </c>
    </row>
    <row r="1344" spans="1:9" x14ac:dyDescent="0.2">
      <c r="A1344">
        <v>2023</v>
      </c>
      <c r="B1344">
        <v>6</v>
      </c>
      <c r="C1344" t="s">
        <v>64</v>
      </c>
      <c r="D1344" t="s">
        <v>60</v>
      </c>
      <c r="E1344" t="s">
        <v>61</v>
      </c>
      <c r="F1344" s="14">
        <v>61769873</v>
      </c>
      <c r="G1344" s="14">
        <v>41179873</v>
      </c>
      <c r="H1344">
        <f t="shared" si="40"/>
        <v>0</v>
      </c>
      <c r="I1344" s="20">
        <f t="shared" si="41"/>
        <v>45078</v>
      </c>
    </row>
    <row r="1345" spans="1:9" x14ac:dyDescent="0.2">
      <c r="A1345">
        <v>2023</v>
      </c>
      <c r="B1345">
        <v>6</v>
      </c>
      <c r="C1345" t="s">
        <v>62</v>
      </c>
      <c r="D1345" t="s">
        <v>60</v>
      </c>
      <c r="E1345" t="s">
        <v>63</v>
      </c>
      <c r="F1345" s="14">
        <v>53206865</v>
      </c>
      <c r="G1345" s="14">
        <v>31298156</v>
      </c>
      <c r="H1345">
        <f t="shared" si="40"/>
        <v>0</v>
      </c>
      <c r="I1345" s="20">
        <f t="shared" si="41"/>
        <v>45078</v>
      </c>
    </row>
    <row r="1346" spans="1:9" x14ac:dyDescent="0.2">
      <c r="A1346">
        <v>2023</v>
      </c>
      <c r="B1346">
        <v>6</v>
      </c>
      <c r="C1346" t="s">
        <v>62</v>
      </c>
      <c r="D1346" t="s">
        <v>60</v>
      </c>
      <c r="E1346" t="s">
        <v>76</v>
      </c>
      <c r="F1346" s="14">
        <v>7789724</v>
      </c>
      <c r="G1346" s="14">
        <v>4868578</v>
      </c>
      <c r="H1346">
        <f t="shared" si="40"/>
        <v>0</v>
      </c>
      <c r="I1346" s="20">
        <f t="shared" si="41"/>
        <v>45078</v>
      </c>
    </row>
    <row r="1347" spans="1:9" x14ac:dyDescent="0.2">
      <c r="A1347">
        <v>2023</v>
      </c>
      <c r="B1347">
        <v>6</v>
      </c>
      <c r="C1347" t="s">
        <v>62</v>
      </c>
      <c r="D1347" t="s">
        <v>60</v>
      </c>
      <c r="E1347" t="s">
        <v>65</v>
      </c>
      <c r="F1347" s="14">
        <v>2096198</v>
      </c>
      <c r="G1347" s="14">
        <v>1310124</v>
      </c>
      <c r="H1347">
        <f t="shared" ref="H1347:H1410" si="42">--ISNUMBER(SEARCH("Jet Fuel",E1347))</f>
        <v>1</v>
      </c>
      <c r="I1347" s="20">
        <f t="shared" ref="I1347:I1410" si="43">DATE(A1347,B1347,1)</f>
        <v>45078</v>
      </c>
    </row>
    <row r="1348" spans="1:9" x14ac:dyDescent="0.2">
      <c r="A1348">
        <v>2023</v>
      </c>
      <c r="B1348">
        <v>6</v>
      </c>
      <c r="C1348" t="s">
        <v>55</v>
      </c>
      <c r="D1348" t="s">
        <v>60</v>
      </c>
      <c r="E1348" t="s">
        <v>65</v>
      </c>
      <c r="F1348" s="14">
        <v>1794972</v>
      </c>
      <c r="G1348" s="14">
        <v>1121861</v>
      </c>
      <c r="H1348">
        <f t="shared" si="42"/>
        <v>1</v>
      </c>
      <c r="I1348" s="20">
        <f t="shared" si="43"/>
        <v>45078</v>
      </c>
    </row>
    <row r="1349" spans="1:9" x14ac:dyDescent="0.2">
      <c r="A1349">
        <v>2023</v>
      </c>
      <c r="B1349">
        <v>6</v>
      </c>
      <c r="C1349" t="s">
        <v>55</v>
      </c>
      <c r="D1349" t="s">
        <v>66</v>
      </c>
      <c r="E1349" t="s">
        <v>63</v>
      </c>
      <c r="F1349" s="14">
        <v>16652119</v>
      </c>
      <c r="G1349" s="14">
        <v>9795364</v>
      </c>
      <c r="H1349">
        <f t="shared" si="42"/>
        <v>0</v>
      </c>
      <c r="I1349" s="20">
        <f t="shared" si="43"/>
        <v>45078</v>
      </c>
    </row>
    <row r="1350" spans="1:9" x14ac:dyDescent="0.2">
      <c r="A1350">
        <v>2023</v>
      </c>
      <c r="B1350">
        <v>6</v>
      </c>
      <c r="C1350" t="s">
        <v>55</v>
      </c>
      <c r="D1350" t="s">
        <v>66</v>
      </c>
      <c r="E1350" t="s">
        <v>67</v>
      </c>
      <c r="F1350" s="14">
        <v>5774163</v>
      </c>
      <c r="G1350" s="14">
        <v>3849430</v>
      </c>
      <c r="H1350">
        <f t="shared" si="42"/>
        <v>0</v>
      </c>
      <c r="I1350" s="20">
        <f t="shared" si="43"/>
        <v>45078</v>
      </c>
    </row>
    <row r="1351" spans="1:9" x14ac:dyDescent="0.2">
      <c r="A1351">
        <v>2023</v>
      </c>
      <c r="B1351">
        <v>6</v>
      </c>
      <c r="C1351" t="s">
        <v>55</v>
      </c>
      <c r="D1351" t="s">
        <v>66</v>
      </c>
      <c r="E1351" t="s">
        <v>68</v>
      </c>
      <c r="F1351" s="14">
        <v>2590243</v>
      </c>
      <c r="G1351" s="14">
        <v>2590243</v>
      </c>
      <c r="H1351">
        <f t="shared" si="42"/>
        <v>0</v>
      </c>
      <c r="I1351" s="20">
        <f t="shared" si="43"/>
        <v>45078</v>
      </c>
    </row>
    <row r="1352" spans="1:9" x14ac:dyDescent="0.2">
      <c r="A1352">
        <v>2023</v>
      </c>
      <c r="B1352">
        <v>6</v>
      </c>
      <c r="C1352" t="s">
        <v>55</v>
      </c>
      <c r="D1352" t="s">
        <v>66</v>
      </c>
      <c r="E1352" t="s">
        <v>69</v>
      </c>
      <c r="F1352" s="14">
        <v>366134</v>
      </c>
      <c r="G1352" s="14">
        <v>228834</v>
      </c>
      <c r="H1352">
        <f t="shared" si="42"/>
        <v>0</v>
      </c>
      <c r="I1352" s="20">
        <f t="shared" si="43"/>
        <v>45078</v>
      </c>
    </row>
    <row r="1353" spans="1:9" x14ac:dyDescent="0.2">
      <c r="A1353">
        <v>2023</v>
      </c>
      <c r="B1353">
        <v>6</v>
      </c>
      <c r="C1353" t="s">
        <v>55</v>
      </c>
      <c r="D1353" t="s">
        <v>66</v>
      </c>
      <c r="E1353" t="s">
        <v>74</v>
      </c>
      <c r="F1353" s="14">
        <v>344651</v>
      </c>
      <c r="G1353" s="14">
        <v>313319</v>
      </c>
      <c r="H1353">
        <f t="shared" si="42"/>
        <v>0</v>
      </c>
      <c r="I1353" s="20">
        <f t="shared" si="43"/>
        <v>45078</v>
      </c>
    </row>
    <row r="1354" spans="1:9" x14ac:dyDescent="0.2">
      <c r="A1354">
        <v>2023</v>
      </c>
      <c r="B1354">
        <v>6</v>
      </c>
      <c r="C1354" t="s">
        <v>55</v>
      </c>
      <c r="D1354" t="s">
        <v>66</v>
      </c>
      <c r="E1354" t="s">
        <v>59</v>
      </c>
      <c r="F1354" s="14">
        <v>122158</v>
      </c>
      <c r="G1354" s="14">
        <v>122158</v>
      </c>
      <c r="H1354">
        <f t="shared" si="42"/>
        <v>0</v>
      </c>
      <c r="I1354" s="20">
        <f t="shared" si="43"/>
        <v>45078</v>
      </c>
    </row>
    <row r="1355" spans="1:9" x14ac:dyDescent="0.2">
      <c r="A1355">
        <v>2023</v>
      </c>
      <c r="B1355">
        <v>6</v>
      </c>
      <c r="C1355" t="s">
        <v>55</v>
      </c>
      <c r="D1355" t="s">
        <v>70</v>
      </c>
      <c r="E1355" t="s">
        <v>68</v>
      </c>
      <c r="F1355" s="14">
        <v>1273151472</v>
      </c>
      <c r="G1355" s="14">
        <v>1273151472</v>
      </c>
      <c r="H1355">
        <f t="shared" si="42"/>
        <v>0</v>
      </c>
      <c r="I1355" s="20">
        <f t="shared" si="43"/>
        <v>45078</v>
      </c>
    </row>
    <row r="1356" spans="1:9" x14ac:dyDescent="0.2">
      <c r="A1356">
        <v>2023</v>
      </c>
      <c r="B1356">
        <v>6</v>
      </c>
      <c r="C1356" t="s">
        <v>62</v>
      </c>
      <c r="D1356" t="s">
        <v>70</v>
      </c>
      <c r="E1356" t="s">
        <v>63</v>
      </c>
      <c r="F1356" s="14">
        <v>12087264</v>
      </c>
      <c r="G1356" s="14">
        <v>7110155</v>
      </c>
      <c r="H1356">
        <f t="shared" si="42"/>
        <v>0</v>
      </c>
      <c r="I1356" s="20">
        <f t="shared" si="43"/>
        <v>45078</v>
      </c>
    </row>
    <row r="1357" spans="1:9" x14ac:dyDescent="0.2">
      <c r="A1357">
        <v>2023</v>
      </c>
      <c r="B1357">
        <v>6</v>
      </c>
      <c r="C1357" t="s">
        <v>64</v>
      </c>
      <c r="D1357" t="s">
        <v>70</v>
      </c>
      <c r="E1357" t="s">
        <v>68</v>
      </c>
      <c r="F1357" s="14">
        <v>1197697</v>
      </c>
      <c r="G1357" s="14">
        <v>1197697</v>
      </c>
      <c r="H1357">
        <f t="shared" si="42"/>
        <v>0</v>
      </c>
      <c r="I1357" s="20">
        <f t="shared" si="43"/>
        <v>45078</v>
      </c>
    </row>
    <row r="1358" spans="1:9" x14ac:dyDescent="0.2">
      <c r="A1358">
        <v>2023</v>
      </c>
      <c r="B1358">
        <v>6</v>
      </c>
      <c r="C1358" t="s">
        <v>64</v>
      </c>
      <c r="D1358" t="s">
        <v>71</v>
      </c>
      <c r="E1358" t="s">
        <v>72</v>
      </c>
      <c r="F1358" s="14">
        <v>23954</v>
      </c>
      <c r="G1358" s="14">
        <v>23954</v>
      </c>
      <c r="H1358">
        <f t="shared" si="42"/>
        <v>0</v>
      </c>
      <c r="I1358" s="20">
        <f t="shared" si="43"/>
        <v>45078</v>
      </c>
    </row>
    <row r="1359" spans="1:9" x14ac:dyDescent="0.2">
      <c r="A1359">
        <v>2023</v>
      </c>
      <c r="B1359">
        <v>7</v>
      </c>
      <c r="C1359" t="s">
        <v>55</v>
      </c>
      <c r="D1359" t="s">
        <v>56</v>
      </c>
      <c r="E1359" t="s">
        <v>59</v>
      </c>
      <c r="F1359" s="14">
        <v>56006395</v>
      </c>
      <c r="G1359" s="14">
        <v>56006395</v>
      </c>
      <c r="H1359">
        <f t="shared" si="42"/>
        <v>0</v>
      </c>
      <c r="I1359" s="20">
        <f t="shared" si="43"/>
        <v>45108</v>
      </c>
    </row>
    <row r="1360" spans="1:9" x14ac:dyDescent="0.2">
      <c r="A1360">
        <v>2023</v>
      </c>
      <c r="B1360">
        <v>7</v>
      </c>
      <c r="C1360" t="s">
        <v>55</v>
      </c>
      <c r="D1360" t="s">
        <v>56</v>
      </c>
      <c r="E1360" t="s">
        <v>58</v>
      </c>
      <c r="F1360" s="14">
        <v>4704474</v>
      </c>
      <c r="G1360" s="14">
        <v>4704474</v>
      </c>
      <c r="H1360">
        <f t="shared" si="42"/>
        <v>0</v>
      </c>
      <c r="I1360" s="20">
        <f t="shared" si="43"/>
        <v>45108</v>
      </c>
    </row>
    <row r="1361" spans="1:9" x14ac:dyDescent="0.2">
      <c r="A1361">
        <v>2023</v>
      </c>
      <c r="B1361">
        <v>7</v>
      </c>
      <c r="C1361" t="s">
        <v>64</v>
      </c>
      <c r="D1361" t="s">
        <v>56</v>
      </c>
      <c r="E1361" t="s">
        <v>58</v>
      </c>
      <c r="F1361" s="14">
        <v>2538274</v>
      </c>
      <c r="G1361" s="14">
        <v>2538274</v>
      </c>
      <c r="H1361">
        <f t="shared" si="42"/>
        <v>0</v>
      </c>
      <c r="I1361" s="20">
        <f t="shared" si="43"/>
        <v>45108</v>
      </c>
    </row>
    <row r="1362" spans="1:9" x14ac:dyDescent="0.2">
      <c r="A1362">
        <v>2023</v>
      </c>
      <c r="B1362">
        <v>7</v>
      </c>
      <c r="C1362" t="s">
        <v>64</v>
      </c>
      <c r="D1362" t="s">
        <v>56</v>
      </c>
      <c r="E1362" t="s">
        <v>59</v>
      </c>
      <c r="F1362" s="14">
        <v>883580</v>
      </c>
      <c r="G1362" s="14">
        <v>883580</v>
      </c>
      <c r="H1362">
        <f t="shared" si="42"/>
        <v>0</v>
      </c>
      <c r="I1362" s="20">
        <f t="shared" si="43"/>
        <v>45108</v>
      </c>
    </row>
    <row r="1363" spans="1:9" x14ac:dyDescent="0.2">
      <c r="A1363">
        <v>2023</v>
      </c>
      <c r="B1363">
        <v>7</v>
      </c>
      <c r="C1363" t="s">
        <v>55</v>
      </c>
      <c r="D1363" t="s">
        <v>56</v>
      </c>
      <c r="E1363" t="s">
        <v>57</v>
      </c>
      <c r="F1363" s="14">
        <v>142475</v>
      </c>
      <c r="G1363" s="14">
        <v>142475</v>
      </c>
      <c r="H1363">
        <f t="shared" si="42"/>
        <v>0</v>
      </c>
      <c r="I1363" s="20">
        <f t="shared" si="43"/>
        <v>45108</v>
      </c>
    </row>
    <row r="1364" spans="1:9" x14ac:dyDescent="0.2">
      <c r="A1364">
        <v>2023</v>
      </c>
      <c r="B1364">
        <v>7</v>
      </c>
      <c r="C1364" t="s">
        <v>55</v>
      </c>
      <c r="D1364" t="s">
        <v>60</v>
      </c>
      <c r="E1364" t="s">
        <v>63</v>
      </c>
      <c r="F1364" s="14">
        <v>234544753</v>
      </c>
      <c r="G1364" s="14">
        <v>137967419</v>
      </c>
      <c r="H1364">
        <f t="shared" si="42"/>
        <v>0</v>
      </c>
      <c r="I1364" s="20">
        <f t="shared" si="43"/>
        <v>45108</v>
      </c>
    </row>
    <row r="1365" spans="1:9" x14ac:dyDescent="0.2">
      <c r="A1365">
        <v>2023</v>
      </c>
      <c r="B1365">
        <v>7</v>
      </c>
      <c r="C1365" t="s">
        <v>55</v>
      </c>
      <c r="D1365" t="s">
        <v>60</v>
      </c>
      <c r="E1365" t="s">
        <v>61</v>
      </c>
      <c r="F1365" s="14">
        <v>213897571</v>
      </c>
      <c r="G1365" s="14">
        <v>142596587</v>
      </c>
      <c r="H1365">
        <f t="shared" si="42"/>
        <v>0</v>
      </c>
      <c r="I1365" s="20">
        <f t="shared" si="43"/>
        <v>45108</v>
      </c>
    </row>
    <row r="1366" spans="1:9" x14ac:dyDescent="0.2">
      <c r="A1366">
        <v>2023</v>
      </c>
      <c r="B1366">
        <v>7</v>
      </c>
      <c r="C1366" t="s">
        <v>62</v>
      </c>
      <c r="D1366" t="s">
        <v>60</v>
      </c>
      <c r="E1366" t="s">
        <v>63</v>
      </c>
      <c r="F1366" s="14">
        <v>70932087</v>
      </c>
      <c r="G1366" s="14">
        <v>41724757</v>
      </c>
      <c r="H1366">
        <f t="shared" si="42"/>
        <v>0</v>
      </c>
      <c r="I1366" s="20">
        <f t="shared" si="43"/>
        <v>45108</v>
      </c>
    </row>
    <row r="1367" spans="1:9" x14ac:dyDescent="0.2">
      <c r="A1367">
        <v>2023</v>
      </c>
      <c r="B1367">
        <v>7</v>
      </c>
      <c r="C1367" t="s">
        <v>55</v>
      </c>
      <c r="D1367" t="s">
        <v>60</v>
      </c>
      <c r="E1367" t="s">
        <v>76</v>
      </c>
      <c r="F1367" s="14">
        <v>64627762</v>
      </c>
      <c r="G1367" s="14">
        <v>40392351</v>
      </c>
      <c r="H1367">
        <f t="shared" si="42"/>
        <v>0</v>
      </c>
      <c r="I1367" s="20">
        <f t="shared" si="43"/>
        <v>45108</v>
      </c>
    </row>
    <row r="1368" spans="1:9" x14ac:dyDescent="0.2">
      <c r="A1368">
        <v>2023</v>
      </c>
      <c r="B1368">
        <v>7</v>
      </c>
      <c r="C1368" t="s">
        <v>64</v>
      </c>
      <c r="D1368" t="s">
        <v>60</v>
      </c>
      <c r="E1368" t="s">
        <v>61</v>
      </c>
      <c r="F1368" s="14">
        <v>45551242</v>
      </c>
      <c r="G1368" s="14">
        <v>30367457</v>
      </c>
      <c r="H1368">
        <f t="shared" si="42"/>
        <v>0</v>
      </c>
      <c r="I1368" s="20">
        <f t="shared" si="43"/>
        <v>45108</v>
      </c>
    </row>
    <row r="1369" spans="1:9" x14ac:dyDescent="0.2">
      <c r="A1369">
        <v>2023</v>
      </c>
      <c r="B1369">
        <v>7</v>
      </c>
      <c r="C1369" t="s">
        <v>62</v>
      </c>
      <c r="D1369" t="s">
        <v>60</v>
      </c>
      <c r="E1369" t="s">
        <v>76</v>
      </c>
      <c r="F1369" s="14">
        <v>3562474</v>
      </c>
      <c r="G1369" s="14">
        <v>2226546</v>
      </c>
      <c r="H1369">
        <f t="shared" si="42"/>
        <v>0</v>
      </c>
      <c r="I1369" s="20">
        <f t="shared" si="43"/>
        <v>45108</v>
      </c>
    </row>
    <row r="1370" spans="1:9" x14ac:dyDescent="0.2">
      <c r="A1370">
        <v>2023</v>
      </c>
      <c r="B1370">
        <v>7</v>
      </c>
      <c r="C1370" t="s">
        <v>55</v>
      </c>
      <c r="D1370" t="s">
        <v>60</v>
      </c>
      <c r="E1370" t="s">
        <v>65</v>
      </c>
      <c r="F1370" s="14">
        <v>2833215</v>
      </c>
      <c r="G1370" s="14">
        <v>1770762</v>
      </c>
      <c r="H1370">
        <f t="shared" si="42"/>
        <v>1</v>
      </c>
      <c r="I1370" s="20">
        <f t="shared" si="43"/>
        <v>45108</v>
      </c>
    </row>
    <row r="1371" spans="1:9" x14ac:dyDescent="0.2">
      <c r="A1371">
        <v>2023</v>
      </c>
      <c r="B1371">
        <v>7</v>
      </c>
      <c r="C1371" t="s">
        <v>55</v>
      </c>
      <c r="D1371" t="s">
        <v>66</v>
      </c>
      <c r="E1371" t="s">
        <v>63</v>
      </c>
      <c r="F1371" s="14">
        <v>7542907</v>
      </c>
      <c r="G1371" s="14">
        <v>4437004</v>
      </c>
      <c r="H1371">
        <f t="shared" si="42"/>
        <v>0</v>
      </c>
      <c r="I1371" s="20">
        <f t="shared" si="43"/>
        <v>45108</v>
      </c>
    </row>
    <row r="1372" spans="1:9" x14ac:dyDescent="0.2">
      <c r="A1372">
        <v>2023</v>
      </c>
      <c r="B1372">
        <v>7</v>
      </c>
      <c r="C1372" t="s">
        <v>55</v>
      </c>
      <c r="D1372" t="s">
        <v>66</v>
      </c>
      <c r="E1372" t="s">
        <v>67</v>
      </c>
      <c r="F1372" s="14">
        <v>3305601</v>
      </c>
      <c r="G1372" s="14">
        <v>2203723</v>
      </c>
      <c r="H1372">
        <f t="shared" si="42"/>
        <v>0</v>
      </c>
      <c r="I1372" s="20">
        <f t="shared" si="43"/>
        <v>45108</v>
      </c>
    </row>
    <row r="1373" spans="1:9" x14ac:dyDescent="0.2">
      <c r="A1373">
        <v>2023</v>
      </c>
      <c r="B1373">
        <v>7</v>
      </c>
      <c r="C1373" t="s">
        <v>55</v>
      </c>
      <c r="D1373" t="s">
        <v>66</v>
      </c>
      <c r="E1373" t="s">
        <v>68</v>
      </c>
      <c r="F1373" s="14">
        <v>2084196</v>
      </c>
      <c r="G1373" s="14">
        <v>2084196</v>
      </c>
      <c r="H1373">
        <f t="shared" si="42"/>
        <v>0</v>
      </c>
      <c r="I1373" s="20">
        <f t="shared" si="43"/>
        <v>45108</v>
      </c>
    </row>
    <row r="1374" spans="1:9" x14ac:dyDescent="0.2">
      <c r="A1374">
        <v>2023</v>
      </c>
      <c r="B1374">
        <v>7</v>
      </c>
      <c r="C1374" t="s">
        <v>55</v>
      </c>
      <c r="D1374" t="s">
        <v>66</v>
      </c>
      <c r="E1374" t="s">
        <v>69</v>
      </c>
      <c r="F1374" s="14">
        <v>395406</v>
      </c>
      <c r="G1374" s="14">
        <v>247129</v>
      </c>
      <c r="H1374">
        <f t="shared" si="42"/>
        <v>0</v>
      </c>
      <c r="I1374" s="20">
        <f t="shared" si="43"/>
        <v>45108</v>
      </c>
    </row>
    <row r="1375" spans="1:9" x14ac:dyDescent="0.2">
      <c r="A1375">
        <v>2023</v>
      </c>
      <c r="B1375">
        <v>7</v>
      </c>
      <c r="C1375" t="s">
        <v>55</v>
      </c>
      <c r="D1375" t="s">
        <v>66</v>
      </c>
      <c r="E1375" t="s">
        <v>75</v>
      </c>
      <c r="F1375" s="14">
        <v>226731</v>
      </c>
      <c r="G1375" s="14">
        <v>161951</v>
      </c>
      <c r="H1375">
        <f t="shared" si="42"/>
        <v>0</v>
      </c>
      <c r="I1375" s="20">
        <f t="shared" si="43"/>
        <v>45108</v>
      </c>
    </row>
    <row r="1376" spans="1:9" x14ac:dyDescent="0.2">
      <c r="A1376">
        <v>2023</v>
      </c>
      <c r="B1376">
        <v>7</v>
      </c>
      <c r="C1376" t="s">
        <v>55</v>
      </c>
      <c r="D1376" t="s">
        <v>66</v>
      </c>
      <c r="E1376" t="s">
        <v>74</v>
      </c>
      <c r="F1376" s="14">
        <v>149459</v>
      </c>
      <c r="G1376" s="14">
        <v>135872</v>
      </c>
      <c r="H1376">
        <f t="shared" si="42"/>
        <v>0</v>
      </c>
      <c r="I1376" s="20">
        <f t="shared" si="43"/>
        <v>45108</v>
      </c>
    </row>
    <row r="1377" spans="1:9" x14ac:dyDescent="0.2">
      <c r="A1377">
        <v>2023</v>
      </c>
      <c r="B1377">
        <v>7</v>
      </c>
      <c r="C1377" t="s">
        <v>55</v>
      </c>
      <c r="D1377" t="s">
        <v>66</v>
      </c>
      <c r="E1377" t="s">
        <v>59</v>
      </c>
      <c r="F1377" s="14">
        <v>118176</v>
      </c>
      <c r="G1377" s="14">
        <v>118176</v>
      </c>
      <c r="H1377">
        <f t="shared" si="42"/>
        <v>0</v>
      </c>
      <c r="I1377" s="20">
        <f t="shared" si="43"/>
        <v>45108</v>
      </c>
    </row>
    <row r="1378" spans="1:9" x14ac:dyDescent="0.2">
      <c r="A1378">
        <v>2023</v>
      </c>
      <c r="B1378">
        <v>7</v>
      </c>
      <c r="C1378" t="s">
        <v>55</v>
      </c>
      <c r="D1378" t="s">
        <v>70</v>
      </c>
      <c r="E1378" t="s">
        <v>68</v>
      </c>
      <c r="F1378" s="14">
        <v>1269906409</v>
      </c>
      <c r="G1378" s="14">
        <v>1269906409</v>
      </c>
      <c r="H1378">
        <f t="shared" si="42"/>
        <v>0</v>
      </c>
      <c r="I1378" s="20">
        <f t="shared" si="43"/>
        <v>45108</v>
      </c>
    </row>
    <row r="1379" spans="1:9" x14ac:dyDescent="0.2">
      <c r="A1379">
        <v>2023</v>
      </c>
      <c r="B1379">
        <v>7</v>
      </c>
      <c r="C1379" t="s">
        <v>62</v>
      </c>
      <c r="D1379" t="s">
        <v>70</v>
      </c>
      <c r="E1379" t="s">
        <v>63</v>
      </c>
      <c r="F1379" s="14">
        <v>9222757</v>
      </c>
      <c r="G1379" s="14">
        <v>5425151</v>
      </c>
      <c r="H1379">
        <f t="shared" si="42"/>
        <v>0</v>
      </c>
      <c r="I1379" s="20">
        <f t="shared" si="43"/>
        <v>45108</v>
      </c>
    </row>
    <row r="1380" spans="1:9" x14ac:dyDescent="0.2">
      <c r="A1380">
        <v>2023</v>
      </c>
      <c r="B1380">
        <v>7</v>
      </c>
      <c r="C1380" t="s">
        <v>64</v>
      </c>
      <c r="D1380" t="s">
        <v>70</v>
      </c>
      <c r="E1380" t="s">
        <v>68</v>
      </c>
      <c r="F1380" s="14">
        <v>1373621</v>
      </c>
      <c r="G1380" s="14">
        <v>1373621</v>
      </c>
      <c r="H1380">
        <f t="shared" si="42"/>
        <v>0</v>
      </c>
      <c r="I1380" s="20">
        <f t="shared" si="43"/>
        <v>45108</v>
      </c>
    </row>
    <row r="1381" spans="1:9" x14ac:dyDescent="0.2">
      <c r="A1381">
        <v>2023</v>
      </c>
      <c r="B1381">
        <v>8</v>
      </c>
      <c r="C1381" t="s">
        <v>55</v>
      </c>
      <c r="D1381" t="s">
        <v>56</v>
      </c>
      <c r="E1381" t="s">
        <v>59</v>
      </c>
      <c r="F1381" s="14">
        <v>58285653</v>
      </c>
      <c r="G1381" s="14">
        <v>58285653</v>
      </c>
      <c r="H1381">
        <f t="shared" si="42"/>
        <v>0</v>
      </c>
      <c r="I1381" s="20">
        <f t="shared" si="43"/>
        <v>45139</v>
      </c>
    </row>
    <row r="1382" spans="1:9" x14ac:dyDescent="0.2">
      <c r="A1382">
        <v>2023</v>
      </c>
      <c r="B1382">
        <v>8</v>
      </c>
      <c r="C1382" t="s">
        <v>55</v>
      </c>
      <c r="D1382" t="s">
        <v>56</v>
      </c>
      <c r="E1382" t="s">
        <v>58</v>
      </c>
      <c r="F1382" s="14">
        <v>5006216</v>
      </c>
      <c r="G1382" s="14">
        <v>5006216</v>
      </c>
      <c r="H1382">
        <f t="shared" si="42"/>
        <v>0</v>
      </c>
      <c r="I1382" s="20">
        <f t="shared" si="43"/>
        <v>45139</v>
      </c>
    </row>
    <row r="1383" spans="1:9" x14ac:dyDescent="0.2">
      <c r="A1383">
        <v>2023</v>
      </c>
      <c r="B1383">
        <v>8</v>
      </c>
      <c r="C1383" t="s">
        <v>64</v>
      </c>
      <c r="D1383" t="s">
        <v>56</v>
      </c>
      <c r="E1383" t="s">
        <v>58</v>
      </c>
      <c r="F1383" s="14">
        <v>3261226</v>
      </c>
      <c r="G1383" s="14">
        <v>3261226</v>
      </c>
      <c r="H1383">
        <f t="shared" si="42"/>
        <v>0</v>
      </c>
      <c r="I1383" s="20">
        <f t="shared" si="43"/>
        <v>45139</v>
      </c>
    </row>
    <row r="1384" spans="1:9" x14ac:dyDescent="0.2">
      <c r="A1384">
        <v>2023</v>
      </c>
      <c r="B1384">
        <v>8</v>
      </c>
      <c r="C1384" t="s">
        <v>64</v>
      </c>
      <c r="D1384" t="s">
        <v>56</v>
      </c>
      <c r="E1384" t="s">
        <v>59</v>
      </c>
      <c r="F1384" s="14">
        <v>384983</v>
      </c>
      <c r="G1384" s="14">
        <v>384983</v>
      </c>
      <c r="H1384">
        <f t="shared" si="42"/>
        <v>0</v>
      </c>
      <c r="I1384" s="20">
        <f t="shared" si="43"/>
        <v>45139</v>
      </c>
    </row>
    <row r="1385" spans="1:9" x14ac:dyDescent="0.2">
      <c r="A1385">
        <v>2023</v>
      </c>
      <c r="B1385">
        <v>8</v>
      </c>
      <c r="C1385" t="s">
        <v>55</v>
      </c>
      <c r="D1385" t="s">
        <v>56</v>
      </c>
      <c r="E1385" t="s">
        <v>57</v>
      </c>
      <c r="F1385" s="14">
        <v>139648</v>
      </c>
      <c r="G1385" s="14">
        <v>139648</v>
      </c>
      <c r="H1385">
        <f t="shared" si="42"/>
        <v>0</v>
      </c>
      <c r="I1385" s="20">
        <f t="shared" si="43"/>
        <v>45139</v>
      </c>
    </row>
    <row r="1386" spans="1:9" x14ac:dyDescent="0.2">
      <c r="A1386">
        <v>2023</v>
      </c>
      <c r="B1386">
        <v>8</v>
      </c>
      <c r="C1386" t="s">
        <v>55</v>
      </c>
      <c r="D1386" t="s">
        <v>60</v>
      </c>
      <c r="E1386" t="s">
        <v>63</v>
      </c>
      <c r="F1386" s="14">
        <v>296479921</v>
      </c>
      <c r="G1386" s="14">
        <v>174399881</v>
      </c>
      <c r="H1386">
        <f t="shared" si="42"/>
        <v>0</v>
      </c>
      <c r="I1386" s="20">
        <f t="shared" si="43"/>
        <v>45139</v>
      </c>
    </row>
    <row r="1387" spans="1:9" x14ac:dyDescent="0.2">
      <c r="A1387">
        <v>2023</v>
      </c>
      <c r="B1387">
        <v>8</v>
      </c>
      <c r="C1387" t="s">
        <v>55</v>
      </c>
      <c r="D1387" t="s">
        <v>60</v>
      </c>
      <c r="E1387" t="s">
        <v>61</v>
      </c>
      <c r="F1387" s="14">
        <v>228521616</v>
      </c>
      <c r="G1387" s="14">
        <v>152345749</v>
      </c>
      <c r="H1387">
        <f t="shared" si="42"/>
        <v>0</v>
      </c>
      <c r="I1387" s="20">
        <f t="shared" si="43"/>
        <v>45139</v>
      </c>
    </row>
    <row r="1388" spans="1:9" x14ac:dyDescent="0.2">
      <c r="A1388">
        <v>2023</v>
      </c>
      <c r="B1388">
        <v>8</v>
      </c>
      <c r="C1388" t="s">
        <v>55</v>
      </c>
      <c r="D1388" t="s">
        <v>60</v>
      </c>
      <c r="E1388" t="s">
        <v>76</v>
      </c>
      <c r="F1388" s="14">
        <v>86404191</v>
      </c>
      <c r="G1388" s="14">
        <v>54002619</v>
      </c>
      <c r="H1388">
        <f t="shared" si="42"/>
        <v>0</v>
      </c>
      <c r="I1388" s="20">
        <f t="shared" si="43"/>
        <v>45139</v>
      </c>
    </row>
    <row r="1389" spans="1:9" x14ac:dyDescent="0.2">
      <c r="A1389">
        <v>2023</v>
      </c>
      <c r="B1389">
        <v>8</v>
      </c>
      <c r="C1389" t="s">
        <v>64</v>
      </c>
      <c r="D1389" t="s">
        <v>60</v>
      </c>
      <c r="E1389" t="s">
        <v>61</v>
      </c>
      <c r="F1389" s="14">
        <v>66359954</v>
      </c>
      <c r="G1389" s="14">
        <v>44239929</v>
      </c>
      <c r="H1389">
        <f t="shared" si="42"/>
        <v>0</v>
      </c>
      <c r="I1389" s="20">
        <f t="shared" si="43"/>
        <v>45139</v>
      </c>
    </row>
    <row r="1390" spans="1:9" x14ac:dyDescent="0.2">
      <c r="A1390">
        <v>2023</v>
      </c>
      <c r="B1390">
        <v>8</v>
      </c>
      <c r="C1390" t="s">
        <v>62</v>
      </c>
      <c r="D1390" t="s">
        <v>60</v>
      </c>
      <c r="E1390" t="s">
        <v>63</v>
      </c>
      <c r="F1390" s="14">
        <v>15277904</v>
      </c>
      <c r="G1390" s="14">
        <v>8987002</v>
      </c>
      <c r="H1390">
        <f t="shared" si="42"/>
        <v>0</v>
      </c>
      <c r="I1390" s="20">
        <f t="shared" si="43"/>
        <v>45139</v>
      </c>
    </row>
    <row r="1391" spans="1:9" x14ac:dyDescent="0.2">
      <c r="A1391">
        <v>2023</v>
      </c>
      <c r="B1391">
        <v>8</v>
      </c>
      <c r="C1391" t="s">
        <v>62</v>
      </c>
      <c r="D1391" t="s">
        <v>60</v>
      </c>
      <c r="E1391" t="s">
        <v>76</v>
      </c>
      <c r="F1391" s="14">
        <v>4682159</v>
      </c>
      <c r="G1391" s="14">
        <v>2926349</v>
      </c>
      <c r="H1391">
        <f t="shared" si="42"/>
        <v>0</v>
      </c>
      <c r="I1391" s="20">
        <f t="shared" si="43"/>
        <v>45139</v>
      </c>
    </row>
    <row r="1392" spans="1:9" x14ac:dyDescent="0.2">
      <c r="A1392">
        <v>2023</v>
      </c>
      <c r="B1392">
        <v>8</v>
      </c>
      <c r="C1392" t="s">
        <v>55</v>
      </c>
      <c r="D1392" t="s">
        <v>60</v>
      </c>
      <c r="E1392" t="s">
        <v>65</v>
      </c>
      <c r="F1392" s="14">
        <v>3262183</v>
      </c>
      <c r="G1392" s="14">
        <v>2038864</v>
      </c>
      <c r="H1392">
        <f t="shared" si="42"/>
        <v>1</v>
      </c>
      <c r="I1392" s="20">
        <f t="shared" si="43"/>
        <v>45139</v>
      </c>
    </row>
    <row r="1393" spans="1:9" x14ac:dyDescent="0.2">
      <c r="A1393">
        <v>2023</v>
      </c>
      <c r="B1393">
        <v>8</v>
      </c>
      <c r="C1393" t="s">
        <v>62</v>
      </c>
      <c r="D1393" t="s">
        <v>60</v>
      </c>
      <c r="E1393" t="s">
        <v>65</v>
      </c>
      <c r="F1393" s="14">
        <v>2298118</v>
      </c>
      <c r="G1393" s="14">
        <v>1436324</v>
      </c>
      <c r="H1393">
        <f t="shared" si="42"/>
        <v>1</v>
      </c>
      <c r="I1393" s="20">
        <f t="shared" si="43"/>
        <v>45139</v>
      </c>
    </row>
    <row r="1394" spans="1:9" x14ac:dyDescent="0.2">
      <c r="A1394">
        <v>2023</v>
      </c>
      <c r="B1394">
        <v>8</v>
      </c>
      <c r="C1394" t="s">
        <v>55</v>
      </c>
      <c r="D1394" t="s">
        <v>66</v>
      </c>
      <c r="E1394" t="s">
        <v>63</v>
      </c>
      <c r="F1394" s="14">
        <v>13725429</v>
      </c>
      <c r="G1394" s="14">
        <v>8073780</v>
      </c>
      <c r="H1394">
        <f t="shared" si="42"/>
        <v>0</v>
      </c>
      <c r="I1394" s="20">
        <f t="shared" si="43"/>
        <v>45139</v>
      </c>
    </row>
    <row r="1395" spans="1:9" x14ac:dyDescent="0.2">
      <c r="A1395">
        <v>2023</v>
      </c>
      <c r="B1395">
        <v>8</v>
      </c>
      <c r="C1395" t="s">
        <v>55</v>
      </c>
      <c r="D1395" t="s">
        <v>66</v>
      </c>
      <c r="E1395" t="s">
        <v>67</v>
      </c>
      <c r="F1395" s="14">
        <v>4917964</v>
      </c>
      <c r="G1395" s="14">
        <v>3278632</v>
      </c>
      <c r="H1395">
        <f t="shared" si="42"/>
        <v>0</v>
      </c>
      <c r="I1395" s="20">
        <f t="shared" si="43"/>
        <v>45139</v>
      </c>
    </row>
    <row r="1396" spans="1:9" x14ac:dyDescent="0.2">
      <c r="A1396">
        <v>2023</v>
      </c>
      <c r="B1396">
        <v>8</v>
      </c>
      <c r="C1396" t="s">
        <v>55</v>
      </c>
      <c r="D1396" t="s">
        <v>66</v>
      </c>
      <c r="E1396" t="s">
        <v>68</v>
      </c>
      <c r="F1396" s="14">
        <v>2352734</v>
      </c>
      <c r="G1396" s="14">
        <v>2352734</v>
      </c>
      <c r="H1396">
        <f t="shared" si="42"/>
        <v>0</v>
      </c>
      <c r="I1396" s="20">
        <f t="shared" si="43"/>
        <v>45139</v>
      </c>
    </row>
    <row r="1397" spans="1:9" x14ac:dyDescent="0.2">
      <c r="A1397">
        <v>2023</v>
      </c>
      <c r="B1397">
        <v>8</v>
      </c>
      <c r="C1397" t="s">
        <v>55</v>
      </c>
      <c r="D1397" t="s">
        <v>66</v>
      </c>
      <c r="E1397" t="s">
        <v>74</v>
      </c>
      <c r="F1397" s="14">
        <v>370703</v>
      </c>
      <c r="G1397" s="14">
        <v>337003</v>
      </c>
      <c r="H1397">
        <f t="shared" si="42"/>
        <v>0</v>
      </c>
      <c r="I1397" s="20">
        <f t="shared" si="43"/>
        <v>45139</v>
      </c>
    </row>
    <row r="1398" spans="1:9" x14ac:dyDescent="0.2">
      <c r="A1398">
        <v>2023</v>
      </c>
      <c r="B1398">
        <v>8</v>
      </c>
      <c r="C1398" t="s">
        <v>55</v>
      </c>
      <c r="D1398" t="s">
        <v>66</v>
      </c>
      <c r="E1398" t="s">
        <v>69</v>
      </c>
      <c r="F1398" s="14">
        <v>142970</v>
      </c>
      <c r="G1398" s="14">
        <v>89357</v>
      </c>
      <c r="H1398">
        <f t="shared" si="42"/>
        <v>0</v>
      </c>
      <c r="I1398" s="20">
        <f t="shared" si="43"/>
        <v>45139</v>
      </c>
    </row>
    <row r="1399" spans="1:9" x14ac:dyDescent="0.2">
      <c r="A1399">
        <v>2023</v>
      </c>
      <c r="B1399">
        <v>8</v>
      </c>
      <c r="C1399" t="s">
        <v>55</v>
      </c>
      <c r="D1399" t="s">
        <v>66</v>
      </c>
      <c r="E1399" t="s">
        <v>59</v>
      </c>
      <c r="F1399" s="14">
        <v>137708</v>
      </c>
      <c r="G1399" s="14">
        <v>137708</v>
      </c>
      <c r="H1399">
        <f t="shared" si="42"/>
        <v>0</v>
      </c>
      <c r="I1399" s="20">
        <f t="shared" si="43"/>
        <v>45139</v>
      </c>
    </row>
    <row r="1400" spans="1:9" x14ac:dyDescent="0.2">
      <c r="A1400">
        <v>2023</v>
      </c>
      <c r="B1400">
        <v>8</v>
      </c>
      <c r="C1400" t="s">
        <v>55</v>
      </c>
      <c r="D1400" t="s">
        <v>66</v>
      </c>
      <c r="E1400" t="s">
        <v>75</v>
      </c>
      <c r="F1400" s="14">
        <v>37226</v>
      </c>
      <c r="G1400" s="14">
        <v>26590</v>
      </c>
      <c r="H1400">
        <f t="shared" si="42"/>
        <v>0</v>
      </c>
      <c r="I1400" s="20">
        <f t="shared" si="43"/>
        <v>45139</v>
      </c>
    </row>
    <row r="1401" spans="1:9" x14ac:dyDescent="0.2">
      <c r="A1401">
        <v>2023</v>
      </c>
      <c r="B1401">
        <v>8</v>
      </c>
      <c r="C1401" t="s">
        <v>55</v>
      </c>
      <c r="D1401" t="s">
        <v>70</v>
      </c>
      <c r="E1401" t="s">
        <v>68</v>
      </c>
      <c r="F1401" s="14">
        <v>1259928401</v>
      </c>
      <c r="G1401" s="14">
        <v>1259928401</v>
      </c>
      <c r="H1401">
        <f t="shared" si="42"/>
        <v>0</v>
      </c>
      <c r="I1401" s="20">
        <f t="shared" si="43"/>
        <v>45139</v>
      </c>
    </row>
    <row r="1402" spans="1:9" x14ac:dyDescent="0.2">
      <c r="A1402">
        <v>2023</v>
      </c>
      <c r="B1402">
        <v>8</v>
      </c>
      <c r="C1402" t="s">
        <v>55</v>
      </c>
      <c r="D1402" t="s">
        <v>70</v>
      </c>
      <c r="E1402" t="s">
        <v>78</v>
      </c>
      <c r="F1402" s="14">
        <v>16513951</v>
      </c>
      <c r="G1402" s="14">
        <v>11009299</v>
      </c>
      <c r="H1402">
        <f t="shared" si="42"/>
        <v>0</v>
      </c>
      <c r="I1402" s="20">
        <f t="shared" si="43"/>
        <v>45139</v>
      </c>
    </row>
    <row r="1403" spans="1:9" x14ac:dyDescent="0.2">
      <c r="A1403">
        <v>2023</v>
      </c>
      <c r="B1403">
        <v>8</v>
      </c>
      <c r="C1403" t="s">
        <v>55</v>
      </c>
      <c r="D1403" t="s">
        <v>70</v>
      </c>
      <c r="E1403" t="s">
        <v>79</v>
      </c>
      <c r="F1403" s="14">
        <v>1484063</v>
      </c>
      <c r="G1403" s="14">
        <v>872978</v>
      </c>
      <c r="H1403">
        <f t="shared" si="42"/>
        <v>1</v>
      </c>
      <c r="I1403" s="20">
        <f t="shared" si="43"/>
        <v>45139</v>
      </c>
    </row>
    <row r="1404" spans="1:9" x14ac:dyDescent="0.2">
      <c r="A1404">
        <v>2023</v>
      </c>
      <c r="B1404">
        <v>8</v>
      </c>
      <c r="C1404" t="s">
        <v>64</v>
      </c>
      <c r="D1404" t="s">
        <v>70</v>
      </c>
      <c r="E1404" t="s">
        <v>68</v>
      </c>
      <c r="F1404" s="14">
        <v>1450570</v>
      </c>
      <c r="G1404" s="14">
        <v>1450570</v>
      </c>
      <c r="H1404">
        <f t="shared" si="42"/>
        <v>0</v>
      </c>
      <c r="I1404" s="20">
        <f t="shared" si="43"/>
        <v>45139</v>
      </c>
    </row>
    <row r="1405" spans="1:9" x14ac:dyDescent="0.2">
      <c r="A1405">
        <v>2023</v>
      </c>
      <c r="B1405">
        <v>8</v>
      </c>
      <c r="C1405" t="s">
        <v>55</v>
      </c>
      <c r="D1405" t="s">
        <v>70</v>
      </c>
      <c r="E1405" t="s">
        <v>63</v>
      </c>
      <c r="F1405" s="14">
        <v>327746</v>
      </c>
      <c r="G1405" s="14">
        <v>192792</v>
      </c>
      <c r="H1405">
        <f t="shared" si="42"/>
        <v>0</v>
      </c>
      <c r="I1405" s="20">
        <f t="shared" si="43"/>
        <v>45139</v>
      </c>
    </row>
    <row r="1406" spans="1:9" x14ac:dyDescent="0.2">
      <c r="A1406">
        <v>2023</v>
      </c>
      <c r="B1406">
        <v>8</v>
      </c>
      <c r="C1406" t="s">
        <v>55</v>
      </c>
      <c r="D1406" t="s">
        <v>70</v>
      </c>
      <c r="E1406" t="s">
        <v>61</v>
      </c>
      <c r="F1406" s="14">
        <v>81304</v>
      </c>
      <c r="G1406" s="14">
        <v>54198</v>
      </c>
      <c r="H1406">
        <f t="shared" si="42"/>
        <v>0</v>
      </c>
      <c r="I1406" s="20">
        <f t="shared" si="43"/>
        <v>45139</v>
      </c>
    </row>
    <row r="1407" spans="1:9" x14ac:dyDescent="0.2">
      <c r="A1407">
        <v>2023</v>
      </c>
      <c r="B1407">
        <v>8</v>
      </c>
      <c r="C1407" t="s">
        <v>62</v>
      </c>
      <c r="D1407" t="s">
        <v>70</v>
      </c>
      <c r="E1407" t="s">
        <v>63</v>
      </c>
      <c r="F1407" s="14">
        <v>47892</v>
      </c>
      <c r="G1407" s="14">
        <v>28172</v>
      </c>
      <c r="H1407">
        <f t="shared" si="42"/>
        <v>0</v>
      </c>
      <c r="I1407" s="20">
        <f t="shared" si="43"/>
        <v>45139</v>
      </c>
    </row>
    <row r="1408" spans="1:9" x14ac:dyDescent="0.2">
      <c r="A1408">
        <v>2023</v>
      </c>
      <c r="B1408">
        <v>8</v>
      </c>
      <c r="C1408" t="s">
        <v>64</v>
      </c>
      <c r="D1408" t="s">
        <v>71</v>
      </c>
      <c r="E1408" t="s">
        <v>72</v>
      </c>
      <c r="F1408" s="14">
        <v>28704</v>
      </c>
      <c r="G1408" s="14">
        <v>28704</v>
      </c>
      <c r="H1408">
        <f t="shared" si="42"/>
        <v>0</v>
      </c>
      <c r="I1408" s="20">
        <f t="shared" si="43"/>
        <v>45139</v>
      </c>
    </row>
    <row r="1409" spans="1:9" x14ac:dyDescent="0.2">
      <c r="A1409">
        <v>2023</v>
      </c>
      <c r="B1409">
        <v>9</v>
      </c>
      <c r="C1409" t="s">
        <v>55</v>
      </c>
      <c r="D1409" t="s">
        <v>56</v>
      </c>
      <c r="E1409" t="s">
        <v>59</v>
      </c>
      <c r="F1409" s="14">
        <v>56289925</v>
      </c>
      <c r="G1409" s="14">
        <v>56289925</v>
      </c>
      <c r="H1409">
        <f t="shared" si="42"/>
        <v>0</v>
      </c>
      <c r="I1409" s="20">
        <f t="shared" si="43"/>
        <v>45170</v>
      </c>
    </row>
    <row r="1410" spans="1:9" x14ac:dyDescent="0.2">
      <c r="A1410">
        <v>2023</v>
      </c>
      <c r="B1410">
        <v>9</v>
      </c>
      <c r="C1410" t="s">
        <v>55</v>
      </c>
      <c r="D1410" t="s">
        <v>56</v>
      </c>
      <c r="E1410" t="s">
        <v>58</v>
      </c>
      <c r="F1410" s="14">
        <v>3934635</v>
      </c>
      <c r="G1410" s="14">
        <v>3934635</v>
      </c>
      <c r="H1410">
        <f t="shared" si="42"/>
        <v>0</v>
      </c>
      <c r="I1410" s="20">
        <f t="shared" si="43"/>
        <v>45170</v>
      </c>
    </row>
    <row r="1411" spans="1:9" x14ac:dyDescent="0.2">
      <c r="A1411">
        <v>2023</v>
      </c>
      <c r="B1411">
        <v>9</v>
      </c>
      <c r="C1411" t="s">
        <v>64</v>
      </c>
      <c r="D1411" t="s">
        <v>56</v>
      </c>
      <c r="E1411" t="s">
        <v>58</v>
      </c>
      <c r="F1411" s="14">
        <v>3364273</v>
      </c>
      <c r="G1411" s="14">
        <v>3364273</v>
      </c>
      <c r="H1411">
        <f t="shared" ref="H1411:H1474" si="44">--ISNUMBER(SEARCH("Jet Fuel",E1411))</f>
        <v>0</v>
      </c>
      <c r="I1411" s="20">
        <f t="shared" ref="I1411:I1474" si="45">DATE(A1411,B1411,1)</f>
        <v>45170</v>
      </c>
    </row>
    <row r="1412" spans="1:9" x14ac:dyDescent="0.2">
      <c r="A1412">
        <v>2023</v>
      </c>
      <c r="B1412">
        <v>9</v>
      </c>
      <c r="C1412" t="s">
        <v>64</v>
      </c>
      <c r="D1412" t="s">
        <v>56</v>
      </c>
      <c r="E1412" t="s">
        <v>59</v>
      </c>
      <c r="F1412" s="14">
        <v>342002</v>
      </c>
      <c r="G1412" s="14">
        <v>342002</v>
      </c>
      <c r="H1412">
        <f t="shared" si="44"/>
        <v>0</v>
      </c>
      <c r="I1412" s="20">
        <f t="shared" si="45"/>
        <v>45170</v>
      </c>
    </row>
    <row r="1413" spans="1:9" x14ac:dyDescent="0.2">
      <c r="A1413">
        <v>2023</v>
      </c>
      <c r="B1413">
        <v>9</v>
      </c>
      <c r="C1413" t="s">
        <v>55</v>
      </c>
      <c r="D1413" t="s">
        <v>56</v>
      </c>
      <c r="E1413" t="s">
        <v>57</v>
      </c>
      <c r="F1413" s="14">
        <v>146298</v>
      </c>
      <c r="G1413" s="14">
        <v>146298</v>
      </c>
      <c r="H1413">
        <f t="shared" si="44"/>
        <v>0</v>
      </c>
      <c r="I1413" s="20">
        <f t="shared" si="45"/>
        <v>45170</v>
      </c>
    </row>
    <row r="1414" spans="1:9" x14ac:dyDescent="0.2">
      <c r="A1414">
        <v>2023</v>
      </c>
      <c r="B1414">
        <v>9</v>
      </c>
      <c r="C1414" t="s">
        <v>55</v>
      </c>
      <c r="D1414" t="s">
        <v>60</v>
      </c>
      <c r="E1414" t="s">
        <v>63</v>
      </c>
      <c r="F1414" s="14">
        <v>307400559</v>
      </c>
      <c r="G1414" s="14">
        <v>180823774</v>
      </c>
      <c r="H1414">
        <f t="shared" si="44"/>
        <v>0</v>
      </c>
      <c r="I1414" s="20">
        <f t="shared" si="45"/>
        <v>45170</v>
      </c>
    </row>
    <row r="1415" spans="1:9" x14ac:dyDescent="0.2">
      <c r="A1415">
        <v>2023</v>
      </c>
      <c r="B1415">
        <v>9</v>
      </c>
      <c r="C1415" t="s">
        <v>55</v>
      </c>
      <c r="D1415" t="s">
        <v>60</v>
      </c>
      <c r="E1415" t="s">
        <v>61</v>
      </c>
      <c r="F1415" s="14">
        <v>217638115</v>
      </c>
      <c r="G1415" s="14">
        <v>145090262</v>
      </c>
      <c r="H1415">
        <f t="shared" si="44"/>
        <v>0</v>
      </c>
      <c r="I1415" s="20">
        <f t="shared" si="45"/>
        <v>45170</v>
      </c>
    </row>
    <row r="1416" spans="1:9" x14ac:dyDescent="0.2">
      <c r="A1416">
        <v>2023</v>
      </c>
      <c r="B1416">
        <v>9</v>
      </c>
      <c r="C1416" t="s">
        <v>55</v>
      </c>
      <c r="D1416" t="s">
        <v>60</v>
      </c>
      <c r="E1416" t="s">
        <v>76</v>
      </c>
      <c r="F1416" s="14">
        <v>73315282</v>
      </c>
      <c r="G1416" s="14">
        <v>45822052</v>
      </c>
      <c r="H1416">
        <f t="shared" si="44"/>
        <v>0</v>
      </c>
      <c r="I1416" s="20">
        <f t="shared" si="45"/>
        <v>45170</v>
      </c>
    </row>
    <row r="1417" spans="1:9" x14ac:dyDescent="0.2">
      <c r="A1417">
        <v>2023</v>
      </c>
      <c r="B1417">
        <v>9</v>
      </c>
      <c r="C1417" t="s">
        <v>64</v>
      </c>
      <c r="D1417" t="s">
        <v>60</v>
      </c>
      <c r="E1417" t="s">
        <v>61</v>
      </c>
      <c r="F1417" s="14">
        <v>60696784</v>
      </c>
      <c r="G1417" s="14">
        <v>40464493</v>
      </c>
      <c r="H1417">
        <f t="shared" si="44"/>
        <v>0</v>
      </c>
      <c r="I1417" s="20">
        <f t="shared" si="45"/>
        <v>45170</v>
      </c>
    </row>
    <row r="1418" spans="1:9" x14ac:dyDescent="0.2">
      <c r="A1418">
        <v>2023</v>
      </c>
      <c r="B1418">
        <v>9</v>
      </c>
      <c r="C1418" t="s">
        <v>62</v>
      </c>
      <c r="D1418" t="s">
        <v>60</v>
      </c>
      <c r="E1418" t="s">
        <v>63</v>
      </c>
      <c r="F1418" s="14">
        <v>12113837</v>
      </c>
      <c r="G1418" s="14">
        <v>7125786</v>
      </c>
      <c r="H1418">
        <f t="shared" si="44"/>
        <v>0</v>
      </c>
      <c r="I1418" s="20">
        <f t="shared" si="45"/>
        <v>45170</v>
      </c>
    </row>
    <row r="1419" spans="1:9" x14ac:dyDescent="0.2">
      <c r="A1419">
        <v>2023</v>
      </c>
      <c r="B1419">
        <v>9</v>
      </c>
      <c r="C1419" t="s">
        <v>62</v>
      </c>
      <c r="D1419" t="s">
        <v>60</v>
      </c>
      <c r="E1419" t="s">
        <v>65</v>
      </c>
      <c r="F1419" s="14">
        <v>2406019</v>
      </c>
      <c r="G1419" s="14">
        <v>1503762</v>
      </c>
      <c r="H1419">
        <f t="shared" si="44"/>
        <v>1</v>
      </c>
      <c r="I1419" s="20">
        <f t="shared" si="45"/>
        <v>45170</v>
      </c>
    </row>
    <row r="1420" spans="1:9" x14ac:dyDescent="0.2">
      <c r="A1420">
        <v>2023</v>
      </c>
      <c r="B1420">
        <v>9</v>
      </c>
      <c r="C1420" t="s">
        <v>62</v>
      </c>
      <c r="D1420" t="s">
        <v>60</v>
      </c>
      <c r="E1420" t="s">
        <v>76</v>
      </c>
      <c r="F1420" s="14">
        <v>1090776</v>
      </c>
      <c r="G1420" s="14">
        <v>681735</v>
      </c>
      <c r="H1420">
        <f t="shared" si="44"/>
        <v>0</v>
      </c>
      <c r="I1420" s="20">
        <f t="shared" si="45"/>
        <v>45170</v>
      </c>
    </row>
    <row r="1421" spans="1:9" x14ac:dyDescent="0.2">
      <c r="A1421">
        <v>2023</v>
      </c>
      <c r="B1421">
        <v>9</v>
      </c>
      <c r="C1421" t="s">
        <v>55</v>
      </c>
      <c r="D1421" t="s">
        <v>60</v>
      </c>
      <c r="E1421" t="s">
        <v>65</v>
      </c>
      <c r="F1421" s="14">
        <v>1054881</v>
      </c>
      <c r="G1421" s="14">
        <v>659302</v>
      </c>
      <c r="H1421">
        <f t="shared" si="44"/>
        <v>1</v>
      </c>
      <c r="I1421" s="20">
        <f t="shared" si="45"/>
        <v>45170</v>
      </c>
    </row>
    <row r="1422" spans="1:9" x14ac:dyDescent="0.2">
      <c r="A1422">
        <v>2023</v>
      </c>
      <c r="B1422">
        <v>9</v>
      </c>
      <c r="C1422" t="s">
        <v>64</v>
      </c>
      <c r="D1422" t="s">
        <v>66</v>
      </c>
      <c r="E1422" t="s">
        <v>68</v>
      </c>
      <c r="F1422" s="14">
        <v>19402670</v>
      </c>
      <c r="G1422" s="14">
        <v>19402670</v>
      </c>
      <c r="H1422">
        <f t="shared" si="44"/>
        <v>0</v>
      </c>
      <c r="I1422" s="20">
        <f t="shared" si="45"/>
        <v>45170</v>
      </c>
    </row>
    <row r="1423" spans="1:9" x14ac:dyDescent="0.2">
      <c r="A1423">
        <v>2023</v>
      </c>
      <c r="B1423">
        <v>9</v>
      </c>
      <c r="C1423" t="s">
        <v>55</v>
      </c>
      <c r="D1423" t="s">
        <v>66</v>
      </c>
      <c r="E1423" t="s">
        <v>63</v>
      </c>
      <c r="F1423" s="14">
        <v>12584252</v>
      </c>
      <c r="G1423" s="14">
        <v>7402500</v>
      </c>
      <c r="H1423">
        <f t="shared" si="44"/>
        <v>0</v>
      </c>
      <c r="I1423" s="20">
        <f t="shared" si="45"/>
        <v>45170</v>
      </c>
    </row>
    <row r="1424" spans="1:9" x14ac:dyDescent="0.2">
      <c r="A1424">
        <v>2023</v>
      </c>
      <c r="B1424">
        <v>9</v>
      </c>
      <c r="C1424" t="s">
        <v>55</v>
      </c>
      <c r="D1424" t="s">
        <v>66</v>
      </c>
      <c r="E1424" t="s">
        <v>67</v>
      </c>
      <c r="F1424" s="14">
        <v>5017420</v>
      </c>
      <c r="G1424" s="14">
        <v>3344936</v>
      </c>
      <c r="H1424">
        <f t="shared" si="44"/>
        <v>0</v>
      </c>
      <c r="I1424" s="20">
        <f t="shared" si="45"/>
        <v>45170</v>
      </c>
    </row>
    <row r="1425" spans="1:9" x14ac:dyDescent="0.2">
      <c r="A1425">
        <v>2023</v>
      </c>
      <c r="B1425">
        <v>9</v>
      </c>
      <c r="C1425" t="s">
        <v>55</v>
      </c>
      <c r="D1425" t="s">
        <v>66</v>
      </c>
      <c r="E1425" t="s">
        <v>68</v>
      </c>
      <c r="F1425" s="14">
        <v>2567266</v>
      </c>
      <c r="G1425" s="14">
        <v>2567266</v>
      </c>
      <c r="H1425">
        <f t="shared" si="44"/>
        <v>0</v>
      </c>
      <c r="I1425" s="20">
        <f t="shared" si="45"/>
        <v>45170</v>
      </c>
    </row>
    <row r="1426" spans="1:9" x14ac:dyDescent="0.2">
      <c r="A1426">
        <v>2023</v>
      </c>
      <c r="B1426">
        <v>9</v>
      </c>
      <c r="C1426" t="s">
        <v>55</v>
      </c>
      <c r="D1426" t="s">
        <v>66</v>
      </c>
      <c r="E1426" t="s">
        <v>69</v>
      </c>
      <c r="F1426" s="14">
        <v>853655</v>
      </c>
      <c r="G1426" s="14">
        <v>533534</v>
      </c>
      <c r="H1426">
        <f t="shared" si="44"/>
        <v>0</v>
      </c>
      <c r="I1426" s="20">
        <f t="shared" si="45"/>
        <v>45170</v>
      </c>
    </row>
    <row r="1427" spans="1:9" x14ac:dyDescent="0.2">
      <c r="A1427">
        <v>2023</v>
      </c>
      <c r="B1427">
        <v>9</v>
      </c>
      <c r="C1427" t="s">
        <v>55</v>
      </c>
      <c r="D1427" t="s">
        <v>66</v>
      </c>
      <c r="E1427" t="s">
        <v>74</v>
      </c>
      <c r="F1427" s="14">
        <v>475504</v>
      </c>
      <c r="G1427" s="14">
        <v>432276</v>
      </c>
      <c r="H1427">
        <f t="shared" si="44"/>
        <v>0</v>
      </c>
      <c r="I1427" s="20">
        <f t="shared" si="45"/>
        <v>45170</v>
      </c>
    </row>
    <row r="1428" spans="1:9" x14ac:dyDescent="0.2">
      <c r="A1428">
        <v>2023</v>
      </c>
      <c r="B1428">
        <v>9</v>
      </c>
      <c r="C1428" t="s">
        <v>55</v>
      </c>
      <c r="D1428" t="s">
        <v>66</v>
      </c>
      <c r="E1428" t="s">
        <v>75</v>
      </c>
      <c r="F1428" s="14">
        <v>107832</v>
      </c>
      <c r="G1428" s="14">
        <v>77023</v>
      </c>
      <c r="H1428">
        <f t="shared" si="44"/>
        <v>0</v>
      </c>
      <c r="I1428" s="20">
        <f t="shared" si="45"/>
        <v>45170</v>
      </c>
    </row>
    <row r="1429" spans="1:9" x14ac:dyDescent="0.2">
      <c r="A1429">
        <v>2023</v>
      </c>
      <c r="B1429">
        <v>9</v>
      </c>
      <c r="C1429" t="s">
        <v>55</v>
      </c>
      <c r="D1429" t="s">
        <v>66</v>
      </c>
      <c r="E1429" t="s">
        <v>59</v>
      </c>
      <c r="F1429" s="14">
        <v>101931</v>
      </c>
      <c r="G1429" s="14">
        <v>101931</v>
      </c>
      <c r="H1429">
        <f t="shared" si="44"/>
        <v>0</v>
      </c>
      <c r="I1429" s="20">
        <f t="shared" si="45"/>
        <v>45170</v>
      </c>
    </row>
    <row r="1430" spans="1:9" x14ac:dyDescent="0.2">
      <c r="A1430">
        <v>2023</v>
      </c>
      <c r="B1430">
        <v>9</v>
      </c>
      <c r="C1430" t="s">
        <v>55</v>
      </c>
      <c r="D1430" t="s">
        <v>70</v>
      </c>
      <c r="E1430" t="s">
        <v>68</v>
      </c>
      <c r="F1430" s="14">
        <v>1173157919</v>
      </c>
      <c r="G1430" s="14">
        <v>1173157919</v>
      </c>
      <c r="H1430">
        <f t="shared" si="44"/>
        <v>0</v>
      </c>
      <c r="I1430" s="20">
        <f t="shared" si="45"/>
        <v>45170</v>
      </c>
    </row>
    <row r="1431" spans="1:9" x14ac:dyDescent="0.2">
      <c r="A1431">
        <v>2023</v>
      </c>
      <c r="B1431">
        <v>9</v>
      </c>
      <c r="C1431" t="s">
        <v>64</v>
      </c>
      <c r="D1431" t="s">
        <v>70</v>
      </c>
      <c r="E1431" t="s">
        <v>61</v>
      </c>
      <c r="F1431" s="14">
        <v>3224990</v>
      </c>
      <c r="G1431" s="14">
        <v>2149993</v>
      </c>
      <c r="H1431">
        <f t="shared" si="44"/>
        <v>0</v>
      </c>
      <c r="I1431" s="20">
        <f t="shared" si="45"/>
        <v>45170</v>
      </c>
    </row>
    <row r="1432" spans="1:9" x14ac:dyDescent="0.2">
      <c r="A1432">
        <v>2023</v>
      </c>
      <c r="B1432">
        <v>9</v>
      </c>
      <c r="C1432" t="s">
        <v>55</v>
      </c>
      <c r="D1432" t="s">
        <v>70</v>
      </c>
      <c r="E1432" t="s">
        <v>61</v>
      </c>
      <c r="F1432" s="14">
        <v>1523619</v>
      </c>
      <c r="G1432" s="14">
        <v>1015738</v>
      </c>
      <c r="H1432">
        <f t="shared" si="44"/>
        <v>0</v>
      </c>
      <c r="I1432" s="20">
        <f t="shared" si="45"/>
        <v>45170</v>
      </c>
    </row>
    <row r="1433" spans="1:9" x14ac:dyDescent="0.2">
      <c r="A1433">
        <v>2023</v>
      </c>
      <c r="B1433">
        <v>9</v>
      </c>
      <c r="C1433" t="s">
        <v>64</v>
      </c>
      <c r="D1433" t="s">
        <v>70</v>
      </c>
      <c r="E1433" t="s">
        <v>68</v>
      </c>
      <c r="F1433" s="14">
        <v>1272177</v>
      </c>
      <c r="G1433" s="14">
        <v>1272177</v>
      </c>
      <c r="H1433">
        <f t="shared" si="44"/>
        <v>0</v>
      </c>
      <c r="I1433" s="20">
        <f t="shared" si="45"/>
        <v>45170</v>
      </c>
    </row>
    <row r="1434" spans="1:9" x14ac:dyDescent="0.2">
      <c r="A1434">
        <v>2023</v>
      </c>
      <c r="B1434">
        <v>9</v>
      </c>
      <c r="C1434" t="s">
        <v>62</v>
      </c>
      <c r="D1434" t="s">
        <v>70</v>
      </c>
      <c r="E1434" t="s">
        <v>63</v>
      </c>
      <c r="F1434" s="14">
        <v>693816</v>
      </c>
      <c r="G1434" s="14">
        <v>408127</v>
      </c>
      <c r="H1434">
        <f t="shared" si="44"/>
        <v>0</v>
      </c>
      <c r="I1434" s="20">
        <f t="shared" si="45"/>
        <v>45170</v>
      </c>
    </row>
    <row r="1435" spans="1:9" x14ac:dyDescent="0.2">
      <c r="A1435">
        <v>2023</v>
      </c>
      <c r="B1435">
        <v>10</v>
      </c>
      <c r="C1435" t="s">
        <v>55</v>
      </c>
      <c r="D1435" t="s">
        <v>56</v>
      </c>
      <c r="E1435" t="s">
        <v>59</v>
      </c>
      <c r="F1435" s="14">
        <v>56473586</v>
      </c>
      <c r="G1435" s="14">
        <v>56473586</v>
      </c>
      <c r="H1435">
        <f t="shared" si="44"/>
        <v>0</v>
      </c>
      <c r="I1435" s="20">
        <f t="shared" si="45"/>
        <v>45200</v>
      </c>
    </row>
    <row r="1436" spans="1:9" x14ac:dyDescent="0.2">
      <c r="A1436">
        <v>2023</v>
      </c>
      <c r="B1436">
        <v>10</v>
      </c>
      <c r="C1436" t="s">
        <v>55</v>
      </c>
      <c r="D1436" t="s">
        <v>56</v>
      </c>
      <c r="E1436" t="s">
        <v>58</v>
      </c>
      <c r="F1436" s="14">
        <v>3502971</v>
      </c>
      <c r="G1436" s="14">
        <v>3502971</v>
      </c>
      <c r="H1436">
        <f t="shared" si="44"/>
        <v>0</v>
      </c>
      <c r="I1436" s="20">
        <f t="shared" si="45"/>
        <v>45200</v>
      </c>
    </row>
    <row r="1437" spans="1:9" x14ac:dyDescent="0.2">
      <c r="A1437">
        <v>2023</v>
      </c>
      <c r="B1437">
        <v>10</v>
      </c>
      <c r="C1437" t="s">
        <v>64</v>
      </c>
      <c r="D1437" t="s">
        <v>56</v>
      </c>
      <c r="E1437" t="s">
        <v>58</v>
      </c>
      <c r="F1437" s="14">
        <v>3298120</v>
      </c>
      <c r="G1437" s="14">
        <v>3298120</v>
      </c>
      <c r="H1437">
        <f t="shared" si="44"/>
        <v>0</v>
      </c>
      <c r="I1437" s="20">
        <f t="shared" si="45"/>
        <v>45200</v>
      </c>
    </row>
    <row r="1438" spans="1:9" x14ac:dyDescent="0.2">
      <c r="A1438">
        <v>2023</v>
      </c>
      <c r="B1438">
        <v>10</v>
      </c>
      <c r="C1438" t="s">
        <v>64</v>
      </c>
      <c r="D1438" t="s">
        <v>56</v>
      </c>
      <c r="E1438" t="s">
        <v>59</v>
      </c>
      <c r="F1438" s="14">
        <v>284046</v>
      </c>
      <c r="G1438" s="14">
        <v>284046</v>
      </c>
      <c r="H1438">
        <f t="shared" si="44"/>
        <v>0</v>
      </c>
      <c r="I1438" s="20">
        <f t="shared" si="45"/>
        <v>45200</v>
      </c>
    </row>
    <row r="1439" spans="1:9" x14ac:dyDescent="0.2">
      <c r="A1439">
        <v>2023</v>
      </c>
      <c r="B1439">
        <v>10</v>
      </c>
      <c r="C1439" t="s">
        <v>55</v>
      </c>
      <c r="D1439" t="s">
        <v>60</v>
      </c>
      <c r="E1439" t="s">
        <v>63</v>
      </c>
      <c r="F1439" s="14">
        <v>256436962</v>
      </c>
      <c r="G1439" s="14">
        <v>150845209</v>
      </c>
      <c r="H1439">
        <f t="shared" si="44"/>
        <v>0</v>
      </c>
      <c r="I1439" s="20">
        <f t="shared" si="45"/>
        <v>45200</v>
      </c>
    </row>
    <row r="1440" spans="1:9" x14ac:dyDescent="0.2">
      <c r="A1440">
        <v>2023</v>
      </c>
      <c r="B1440">
        <v>10</v>
      </c>
      <c r="C1440" t="s">
        <v>55</v>
      </c>
      <c r="D1440" t="s">
        <v>60</v>
      </c>
      <c r="E1440" t="s">
        <v>61</v>
      </c>
      <c r="F1440" s="14">
        <v>216133733</v>
      </c>
      <c r="G1440" s="14">
        <v>144087366</v>
      </c>
      <c r="H1440">
        <f t="shared" si="44"/>
        <v>0</v>
      </c>
      <c r="I1440" s="20">
        <f t="shared" si="45"/>
        <v>45200</v>
      </c>
    </row>
    <row r="1441" spans="1:9" x14ac:dyDescent="0.2">
      <c r="A1441">
        <v>2023</v>
      </c>
      <c r="B1441">
        <v>10</v>
      </c>
      <c r="C1441" t="s">
        <v>55</v>
      </c>
      <c r="D1441" t="s">
        <v>60</v>
      </c>
      <c r="E1441" t="s">
        <v>76</v>
      </c>
      <c r="F1441" s="14">
        <v>90051409</v>
      </c>
      <c r="G1441" s="14">
        <v>56282131</v>
      </c>
      <c r="H1441">
        <f t="shared" si="44"/>
        <v>0</v>
      </c>
      <c r="I1441" s="20">
        <f t="shared" si="45"/>
        <v>45200</v>
      </c>
    </row>
    <row r="1442" spans="1:9" x14ac:dyDescent="0.2">
      <c r="A1442">
        <v>2023</v>
      </c>
      <c r="B1442">
        <v>10</v>
      </c>
      <c r="C1442" t="s">
        <v>64</v>
      </c>
      <c r="D1442" t="s">
        <v>60</v>
      </c>
      <c r="E1442" t="s">
        <v>61</v>
      </c>
      <c r="F1442" s="14">
        <v>85566073</v>
      </c>
      <c r="G1442" s="14">
        <v>57044013</v>
      </c>
      <c r="H1442">
        <f t="shared" si="44"/>
        <v>0</v>
      </c>
      <c r="I1442" s="20">
        <f t="shared" si="45"/>
        <v>45200</v>
      </c>
    </row>
    <row r="1443" spans="1:9" x14ac:dyDescent="0.2">
      <c r="A1443">
        <v>2023</v>
      </c>
      <c r="B1443">
        <v>10</v>
      </c>
      <c r="C1443" t="s">
        <v>62</v>
      </c>
      <c r="D1443" t="s">
        <v>60</v>
      </c>
      <c r="E1443" t="s">
        <v>63</v>
      </c>
      <c r="F1443" s="14">
        <v>76728271</v>
      </c>
      <c r="G1443" s="14">
        <v>45134277</v>
      </c>
      <c r="H1443">
        <f t="shared" si="44"/>
        <v>0</v>
      </c>
      <c r="I1443" s="20">
        <f t="shared" si="45"/>
        <v>45200</v>
      </c>
    </row>
    <row r="1444" spans="1:9" x14ac:dyDescent="0.2">
      <c r="A1444">
        <v>2023</v>
      </c>
      <c r="B1444">
        <v>10</v>
      </c>
      <c r="C1444" t="s">
        <v>62</v>
      </c>
      <c r="D1444" t="s">
        <v>60</v>
      </c>
      <c r="E1444" t="s">
        <v>76</v>
      </c>
      <c r="F1444" s="14">
        <v>4824712</v>
      </c>
      <c r="G1444" s="14">
        <v>3015445</v>
      </c>
      <c r="H1444">
        <f t="shared" si="44"/>
        <v>0</v>
      </c>
      <c r="I1444" s="20">
        <f t="shared" si="45"/>
        <v>45200</v>
      </c>
    </row>
    <row r="1445" spans="1:9" x14ac:dyDescent="0.2">
      <c r="A1445">
        <v>2023</v>
      </c>
      <c r="B1445">
        <v>10</v>
      </c>
      <c r="C1445" t="s">
        <v>55</v>
      </c>
      <c r="D1445" t="s">
        <v>60</v>
      </c>
      <c r="E1445" t="s">
        <v>65</v>
      </c>
      <c r="F1445" s="14">
        <v>2344221</v>
      </c>
      <c r="G1445" s="14">
        <v>1465137</v>
      </c>
      <c r="H1445">
        <f t="shared" si="44"/>
        <v>1</v>
      </c>
      <c r="I1445" s="20">
        <f t="shared" si="45"/>
        <v>45200</v>
      </c>
    </row>
    <row r="1446" spans="1:9" x14ac:dyDescent="0.2">
      <c r="A1446">
        <v>2023</v>
      </c>
      <c r="B1446">
        <v>10</v>
      </c>
      <c r="C1446" t="s">
        <v>62</v>
      </c>
      <c r="D1446" t="s">
        <v>60</v>
      </c>
      <c r="E1446" t="s">
        <v>65</v>
      </c>
      <c r="F1446" s="14">
        <v>2289184</v>
      </c>
      <c r="G1446" s="14">
        <v>1430740</v>
      </c>
      <c r="H1446">
        <f t="shared" si="44"/>
        <v>1</v>
      </c>
      <c r="I1446" s="20">
        <f t="shared" si="45"/>
        <v>45200</v>
      </c>
    </row>
    <row r="1447" spans="1:9" x14ac:dyDescent="0.2">
      <c r="A1447">
        <v>2023</v>
      </c>
      <c r="B1447">
        <v>10</v>
      </c>
      <c r="C1447" t="s">
        <v>55</v>
      </c>
      <c r="D1447" t="s">
        <v>60</v>
      </c>
      <c r="E1447" t="s">
        <v>69</v>
      </c>
      <c r="F1447" s="14">
        <v>120640</v>
      </c>
      <c r="G1447" s="14">
        <v>75400</v>
      </c>
      <c r="H1447">
        <f t="shared" si="44"/>
        <v>0</v>
      </c>
      <c r="I1447" s="20">
        <f t="shared" si="45"/>
        <v>45200</v>
      </c>
    </row>
    <row r="1448" spans="1:9" x14ac:dyDescent="0.2">
      <c r="A1448">
        <v>2023</v>
      </c>
      <c r="B1448">
        <v>10</v>
      </c>
      <c r="C1448" t="s">
        <v>55</v>
      </c>
      <c r="D1448" t="s">
        <v>66</v>
      </c>
      <c r="E1448" t="s">
        <v>63</v>
      </c>
      <c r="F1448" s="14">
        <v>11737344</v>
      </c>
      <c r="G1448" s="14">
        <v>6904320</v>
      </c>
      <c r="H1448">
        <f t="shared" si="44"/>
        <v>0</v>
      </c>
      <c r="I1448" s="20">
        <f t="shared" si="45"/>
        <v>45200</v>
      </c>
    </row>
    <row r="1449" spans="1:9" x14ac:dyDescent="0.2">
      <c r="A1449">
        <v>2023</v>
      </c>
      <c r="B1449">
        <v>10</v>
      </c>
      <c r="C1449" t="s">
        <v>55</v>
      </c>
      <c r="D1449" t="s">
        <v>66</v>
      </c>
      <c r="E1449" t="s">
        <v>67</v>
      </c>
      <c r="F1449" s="14">
        <v>8926879</v>
      </c>
      <c r="G1449" s="14">
        <v>5951242</v>
      </c>
      <c r="H1449">
        <f t="shared" si="44"/>
        <v>0</v>
      </c>
      <c r="I1449" s="20">
        <f t="shared" si="45"/>
        <v>45200</v>
      </c>
    </row>
    <row r="1450" spans="1:9" x14ac:dyDescent="0.2">
      <c r="A1450">
        <v>2023</v>
      </c>
      <c r="B1450">
        <v>10</v>
      </c>
      <c r="C1450" t="s">
        <v>55</v>
      </c>
      <c r="D1450" t="s">
        <v>66</v>
      </c>
      <c r="E1450" t="s">
        <v>68</v>
      </c>
      <c r="F1450" s="14">
        <v>2765493</v>
      </c>
      <c r="G1450" s="14">
        <v>2765493</v>
      </c>
      <c r="H1450">
        <f t="shared" si="44"/>
        <v>0</v>
      </c>
      <c r="I1450" s="20">
        <f t="shared" si="45"/>
        <v>45200</v>
      </c>
    </row>
    <row r="1451" spans="1:9" x14ac:dyDescent="0.2">
      <c r="A1451">
        <v>2023</v>
      </c>
      <c r="B1451">
        <v>10</v>
      </c>
      <c r="C1451" t="s">
        <v>64</v>
      </c>
      <c r="D1451" t="s">
        <v>66</v>
      </c>
      <c r="E1451" t="s">
        <v>68</v>
      </c>
      <c r="F1451" s="14">
        <v>1836333</v>
      </c>
      <c r="G1451" s="14">
        <v>1836333</v>
      </c>
      <c r="H1451">
        <f t="shared" si="44"/>
        <v>0</v>
      </c>
      <c r="I1451" s="20">
        <f t="shared" si="45"/>
        <v>45200</v>
      </c>
    </row>
    <row r="1452" spans="1:9" x14ac:dyDescent="0.2">
      <c r="A1452">
        <v>2023</v>
      </c>
      <c r="B1452">
        <v>10</v>
      </c>
      <c r="C1452" t="s">
        <v>55</v>
      </c>
      <c r="D1452" t="s">
        <v>66</v>
      </c>
      <c r="E1452" t="s">
        <v>74</v>
      </c>
      <c r="F1452" s="14">
        <v>530426</v>
      </c>
      <c r="G1452" s="14">
        <v>482205</v>
      </c>
      <c r="H1452">
        <f t="shared" si="44"/>
        <v>0</v>
      </c>
      <c r="I1452" s="20">
        <f t="shared" si="45"/>
        <v>45200</v>
      </c>
    </row>
    <row r="1453" spans="1:9" x14ac:dyDescent="0.2">
      <c r="A1453">
        <v>2023</v>
      </c>
      <c r="B1453">
        <v>10</v>
      </c>
      <c r="C1453" t="s">
        <v>55</v>
      </c>
      <c r="D1453" t="s">
        <v>66</v>
      </c>
      <c r="E1453" t="s">
        <v>75</v>
      </c>
      <c r="F1453" s="14">
        <v>114330</v>
      </c>
      <c r="G1453" s="14">
        <v>81664</v>
      </c>
      <c r="H1453">
        <f t="shared" si="44"/>
        <v>0</v>
      </c>
      <c r="I1453" s="20">
        <f t="shared" si="45"/>
        <v>45200</v>
      </c>
    </row>
    <row r="1454" spans="1:9" x14ac:dyDescent="0.2">
      <c r="A1454">
        <v>2023</v>
      </c>
      <c r="B1454">
        <v>10</v>
      </c>
      <c r="C1454" t="s">
        <v>55</v>
      </c>
      <c r="D1454" t="s">
        <v>66</v>
      </c>
      <c r="E1454" t="s">
        <v>59</v>
      </c>
      <c r="F1454" s="14">
        <v>70596</v>
      </c>
      <c r="G1454" s="14">
        <v>70596</v>
      </c>
      <c r="H1454">
        <f t="shared" si="44"/>
        <v>0</v>
      </c>
      <c r="I1454" s="20">
        <f t="shared" si="45"/>
        <v>45200</v>
      </c>
    </row>
    <row r="1455" spans="1:9" x14ac:dyDescent="0.2">
      <c r="A1455">
        <v>2023</v>
      </c>
      <c r="B1455">
        <v>10</v>
      </c>
      <c r="C1455" t="s">
        <v>55</v>
      </c>
      <c r="D1455" t="s">
        <v>70</v>
      </c>
      <c r="E1455" t="s">
        <v>68</v>
      </c>
      <c r="F1455" s="14">
        <v>1292239092</v>
      </c>
      <c r="G1455" s="14">
        <v>1292239092</v>
      </c>
      <c r="H1455">
        <f t="shared" si="44"/>
        <v>0</v>
      </c>
      <c r="I1455" s="20">
        <f t="shared" si="45"/>
        <v>45200</v>
      </c>
    </row>
    <row r="1456" spans="1:9" x14ac:dyDescent="0.2">
      <c r="A1456">
        <v>2023</v>
      </c>
      <c r="B1456">
        <v>10</v>
      </c>
      <c r="C1456" t="s">
        <v>55</v>
      </c>
      <c r="D1456" t="s">
        <v>70</v>
      </c>
      <c r="E1456" t="s">
        <v>78</v>
      </c>
      <c r="F1456" s="14">
        <v>8951036</v>
      </c>
      <c r="G1456" s="14">
        <v>5967357</v>
      </c>
      <c r="H1456">
        <f t="shared" si="44"/>
        <v>0</v>
      </c>
      <c r="I1456" s="20">
        <f t="shared" si="45"/>
        <v>45200</v>
      </c>
    </row>
    <row r="1457" spans="1:9" x14ac:dyDescent="0.2">
      <c r="A1457">
        <v>2023</v>
      </c>
      <c r="B1457">
        <v>10</v>
      </c>
      <c r="C1457" t="s">
        <v>64</v>
      </c>
      <c r="D1457" t="s">
        <v>70</v>
      </c>
      <c r="E1457" t="s">
        <v>68</v>
      </c>
      <c r="F1457" s="14">
        <v>1344472</v>
      </c>
      <c r="G1457" s="14">
        <v>1344472</v>
      </c>
      <c r="H1457">
        <f t="shared" si="44"/>
        <v>0</v>
      </c>
      <c r="I1457" s="20">
        <f t="shared" si="45"/>
        <v>45200</v>
      </c>
    </row>
    <row r="1458" spans="1:9" x14ac:dyDescent="0.2">
      <c r="A1458">
        <v>2023</v>
      </c>
      <c r="B1458">
        <v>10</v>
      </c>
      <c r="C1458" t="s">
        <v>55</v>
      </c>
      <c r="D1458" t="s">
        <v>70</v>
      </c>
      <c r="E1458" t="s">
        <v>61</v>
      </c>
      <c r="F1458" s="14">
        <v>1048749</v>
      </c>
      <c r="G1458" s="14">
        <v>699159</v>
      </c>
      <c r="H1458">
        <f t="shared" si="44"/>
        <v>0</v>
      </c>
      <c r="I1458" s="20">
        <f t="shared" si="45"/>
        <v>45200</v>
      </c>
    </row>
    <row r="1459" spans="1:9" x14ac:dyDescent="0.2">
      <c r="A1459">
        <v>2023</v>
      </c>
      <c r="B1459">
        <v>10</v>
      </c>
      <c r="C1459" t="s">
        <v>55</v>
      </c>
      <c r="D1459" t="s">
        <v>70</v>
      </c>
      <c r="E1459" t="s">
        <v>79</v>
      </c>
      <c r="F1459" s="14">
        <v>829864</v>
      </c>
      <c r="G1459" s="14">
        <v>488155</v>
      </c>
      <c r="H1459">
        <f t="shared" si="44"/>
        <v>1</v>
      </c>
      <c r="I1459" s="20">
        <f t="shared" si="45"/>
        <v>45200</v>
      </c>
    </row>
    <row r="1460" spans="1:9" x14ac:dyDescent="0.2">
      <c r="A1460">
        <v>2023</v>
      </c>
      <c r="B1460">
        <v>10</v>
      </c>
      <c r="C1460" t="s">
        <v>55</v>
      </c>
      <c r="D1460" t="s">
        <v>70</v>
      </c>
      <c r="E1460" t="s">
        <v>63</v>
      </c>
      <c r="F1460" s="14">
        <v>7011</v>
      </c>
      <c r="G1460" s="14">
        <v>4124</v>
      </c>
      <c r="H1460">
        <f t="shared" si="44"/>
        <v>0</v>
      </c>
      <c r="I1460" s="20">
        <f t="shared" si="45"/>
        <v>45200</v>
      </c>
    </row>
    <row r="1461" spans="1:9" x14ac:dyDescent="0.2">
      <c r="A1461">
        <v>2023</v>
      </c>
      <c r="B1461">
        <v>11</v>
      </c>
      <c r="C1461" t="s">
        <v>55</v>
      </c>
      <c r="D1461" t="s">
        <v>56</v>
      </c>
      <c r="E1461" t="s">
        <v>59</v>
      </c>
      <c r="F1461" s="14">
        <v>62160920</v>
      </c>
      <c r="G1461" s="14">
        <v>62160920</v>
      </c>
      <c r="H1461">
        <f t="shared" si="44"/>
        <v>0</v>
      </c>
      <c r="I1461" s="20">
        <f t="shared" si="45"/>
        <v>45231</v>
      </c>
    </row>
    <row r="1462" spans="1:9" x14ac:dyDescent="0.2">
      <c r="A1462">
        <v>2023</v>
      </c>
      <c r="B1462">
        <v>11</v>
      </c>
      <c r="C1462" t="s">
        <v>55</v>
      </c>
      <c r="D1462" t="s">
        <v>56</v>
      </c>
      <c r="E1462" t="s">
        <v>58</v>
      </c>
      <c r="F1462" s="14">
        <v>3864956</v>
      </c>
      <c r="G1462" s="14">
        <v>3864956</v>
      </c>
      <c r="H1462">
        <f t="shared" si="44"/>
        <v>0</v>
      </c>
      <c r="I1462" s="20">
        <f t="shared" si="45"/>
        <v>45231</v>
      </c>
    </row>
    <row r="1463" spans="1:9" x14ac:dyDescent="0.2">
      <c r="A1463">
        <v>2023</v>
      </c>
      <c r="B1463">
        <v>11</v>
      </c>
      <c r="C1463" t="s">
        <v>64</v>
      </c>
      <c r="D1463" t="s">
        <v>56</v>
      </c>
      <c r="E1463" t="s">
        <v>58</v>
      </c>
      <c r="F1463" s="14">
        <v>3434027</v>
      </c>
      <c r="G1463" s="14">
        <v>3434027</v>
      </c>
      <c r="H1463">
        <f t="shared" si="44"/>
        <v>0</v>
      </c>
      <c r="I1463" s="20">
        <f t="shared" si="45"/>
        <v>45231</v>
      </c>
    </row>
    <row r="1464" spans="1:9" x14ac:dyDescent="0.2">
      <c r="A1464">
        <v>2023</v>
      </c>
      <c r="B1464">
        <v>11</v>
      </c>
      <c r="C1464" t="s">
        <v>64</v>
      </c>
      <c r="D1464" t="s">
        <v>56</v>
      </c>
      <c r="E1464" t="s">
        <v>59</v>
      </c>
      <c r="F1464" s="14">
        <v>339329</v>
      </c>
      <c r="G1464" s="14">
        <v>339329</v>
      </c>
      <c r="H1464">
        <f t="shared" si="44"/>
        <v>0</v>
      </c>
      <c r="I1464" s="20">
        <f t="shared" si="45"/>
        <v>45231</v>
      </c>
    </row>
    <row r="1465" spans="1:9" x14ac:dyDescent="0.2">
      <c r="A1465">
        <v>2023</v>
      </c>
      <c r="B1465">
        <v>11</v>
      </c>
      <c r="C1465" t="s">
        <v>55</v>
      </c>
      <c r="D1465" t="s">
        <v>60</v>
      </c>
      <c r="E1465" t="s">
        <v>63</v>
      </c>
      <c r="F1465" s="14">
        <v>257261400</v>
      </c>
      <c r="G1465" s="14">
        <v>151330178</v>
      </c>
      <c r="H1465">
        <f t="shared" si="44"/>
        <v>0</v>
      </c>
      <c r="I1465" s="20">
        <f t="shared" si="45"/>
        <v>45231</v>
      </c>
    </row>
    <row r="1466" spans="1:9" x14ac:dyDescent="0.2">
      <c r="A1466">
        <v>2023</v>
      </c>
      <c r="B1466">
        <v>11</v>
      </c>
      <c r="C1466" t="s">
        <v>55</v>
      </c>
      <c r="D1466" t="s">
        <v>60</v>
      </c>
      <c r="E1466" t="s">
        <v>61</v>
      </c>
      <c r="F1466" s="14">
        <v>202556353</v>
      </c>
      <c r="G1466" s="14">
        <v>135036013</v>
      </c>
      <c r="H1466">
        <f t="shared" si="44"/>
        <v>0</v>
      </c>
      <c r="I1466" s="20">
        <f t="shared" si="45"/>
        <v>45231</v>
      </c>
    </row>
    <row r="1467" spans="1:9" x14ac:dyDescent="0.2">
      <c r="A1467">
        <v>2023</v>
      </c>
      <c r="B1467">
        <v>11</v>
      </c>
      <c r="C1467" t="s">
        <v>55</v>
      </c>
      <c r="D1467" t="s">
        <v>60</v>
      </c>
      <c r="E1467" t="s">
        <v>76</v>
      </c>
      <c r="F1467" s="14">
        <v>79695447</v>
      </c>
      <c r="G1467" s="14">
        <v>49809655</v>
      </c>
      <c r="H1467">
        <f t="shared" si="44"/>
        <v>0</v>
      </c>
      <c r="I1467" s="20">
        <f t="shared" si="45"/>
        <v>45231</v>
      </c>
    </row>
    <row r="1468" spans="1:9" x14ac:dyDescent="0.2">
      <c r="A1468">
        <v>2023</v>
      </c>
      <c r="B1468">
        <v>11</v>
      </c>
      <c r="C1468" t="s">
        <v>62</v>
      </c>
      <c r="D1468" t="s">
        <v>60</v>
      </c>
      <c r="E1468" t="s">
        <v>63</v>
      </c>
      <c r="F1468" s="14">
        <v>73168844</v>
      </c>
      <c r="G1468" s="14">
        <v>43040497</v>
      </c>
      <c r="H1468">
        <f t="shared" si="44"/>
        <v>0</v>
      </c>
      <c r="I1468" s="20">
        <f t="shared" si="45"/>
        <v>45231</v>
      </c>
    </row>
    <row r="1469" spans="1:9" x14ac:dyDescent="0.2">
      <c r="A1469">
        <v>2023</v>
      </c>
      <c r="B1469">
        <v>11</v>
      </c>
      <c r="C1469" t="s">
        <v>64</v>
      </c>
      <c r="D1469" t="s">
        <v>60</v>
      </c>
      <c r="E1469" t="s">
        <v>61</v>
      </c>
      <c r="F1469" s="14">
        <v>63812258</v>
      </c>
      <c r="G1469" s="14">
        <v>42541477</v>
      </c>
      <c r="H1469">
        <f t="shared" si="44"/>
        <v>0</v>
      </c>
      <c r="I1469" s="20">
        <f t="shared" si="45"/>
        <v>45231</v>
      </c>
    </row>
    <row r="1470" spans="1:9" x14ac:dyDescent="0.2">
      <c r="A1470">
        <v>2023</v>
      </c>
      <c r="B1470">
        <v>11</v>
      </c>
      <c r="C1470" t="s">
        <v>62</v>
      </c>
      <c r="D1470" t="s">
        <v>60</v>
      </c>
      <c r="E1470" t="s">
        <v>76</v>
      </c>
      <c r="F1470" s="14">
        <v>3714590</v>
      </c>
      <c r="G1470" s="14">
        <v>2321619</v>
      </c>
      <c r="H1470">
        <f t="shared" si="44"/>
        <v>0</v>
      </c>
      <c r="I1470" s="20">
        <f t="shared" si="45"/>
        <v>45231</v>
      </c>
    </row>
    <row r="1471" spans="1:9" x14ac:dyDescent="0.2">
      <c r="A1471">
        <v>2023</v>
      </c>
      <c r="B1471">
        <v>11</v>
      </c>
      <c r="C1471" t="s">
        <v>55</v>
      </c>
      <c r="D1471" t="s">
        <v>60</v>
      </c>
      <c r="E1471" t="s">
        <v>69</v>
      </c>
      <c r="F1471" s="14">
        <v>198943</v>
      </c>
      <c r="G1471" s="14">
        <v>124339</v>
      </c>
      <c r="H1471">
        <f t="shared" si="44"/>
        <v>0</v>
      </c>
      <c r="I1471" s="20">
        <f t="shared" si="45"/>
        <v>45231</v>
      </c>
    </row>
    <row r="1472" spans="1:9" x14ac:dyDescent="0.2">
      <c r="A1472">
        <v>2023</v>
      </c>
      <c r="B1472">
        <v>11</v>
      </c>
      <c r="C1472" t="s">
        <v>55</v>
      </c>
      <c r="D1472" t="s">
        <v>66</v>
      </c>
      <c r="E1472" t="s">
        <v>63</v>
      </c>
      <c r="F1472" s="14">
        <v>7494912</v>
      </c>
      <c r="G1472" s="14">
        <v>4408772</v>
      </c>
      <c r="H1472">
        <f t="shared" si="44"/>
        <v>0</v>
      </c>
      <c r="I1472" s="20">
        <f t="shared" si="45"/>
        <v>45231</v>
      </c>
    </row>
    <row r="1473" spans="1:9" x14ac:dyDescent="0.2">
      <c r="A1473">
        <v>2023</v>
      </c>
      <c r="B1473">
        <v>11</v>
      </c>
      <c r="C1473" t="s">
        <v>55</v>
      </c>
      <c r="D1473" t="s">
        <v>66</v>
      </c>
      <c r="E1473" t="s">
        <v>67</v>
      </c>
      <c r="F1473" s="14">
        <v>5629571</v>
      </c>
      <c r="G1473" s="14">
        <v>3753042</v>
      </c>
      <c r="H1473">
        <f t="shared" si="44"/>
        <v>0</v>
      </c>
      <c r="I1473" s="20">
        <f t="shared" si="45"/>
        <v>45231</v>
      </c>
    </row>
    <row r="1474" spans="1:9" x14ac:dyDescent="0.2">
      <c r="A1474">
        <v>2023</v>
      </c>
      <c r="B1474">
        <v>11</v>
      </c>
      <c r="C1474" t="s">
        <v>55</v>
      </c>
      <c r="D1474" t="s">
        <v>66</v>
      </c>
      <c r="E1474" t="s">
        <v>68</v>
      </c>
      <c r="F1474" s="14">
        <v>2348268</v>
      </c>
      <c r="G1474" s="14">
        <v>2348268</v>
      </c>
      <c r="H1474">
        <f t="shared" si="44"/>
        <v>0</v>
      </c>
      <c r="I1474" s="20">
        <f t="shared" si="45"/>
        <v>45231</v>
      </c>
    </row>
    <row r="1475" spans="1:9" x14ac:dyDescent="0.2">
      <c r="A1475">
        <v>2023</v>
      </c>
      <c r="B1475">
        <v>11</v>
      </c>
      <c r="C1475" t="s">
        <v>55</v>
      </c>
      <c r="D1475" t="s">
        <v>66</v>
      </c>
      <c r="E1475" t="s">
        <v>74</v>
      </c>
      <c r="F1475" s="14">
        <v>338047</v>
      </c>
      <c r="G1475" s="14">
        <v>307315</v>
      </c>
      <c r="H1475">
        <f t="shared" ref="H1475:H1538" si="46">--ISNUMBER(SEARCH("Jet Fuel",E1475))</f>
        <v>0</v>
      </c>
      <c r="I1475" s="20">
        <f t="shared" ref="I1475:I1538" si="47">DATE(A1475,B1475,1)</f>
        <v>45231</v>
      </c>
    </row>
    <row r="1476" spans="1:9" x14ac:dyDescent="0.2">
      <c r="A1476">
        <v>2023</v>
      </c>
      <c r="B1476">
        <v>11</v>
      </c>
      <c r="C1476" t="s">
        <v>55</v>
      </c>
      <c r="D1476" t="s">
        <v>66</v>
      </c>
      <c r="E1476" t="s">
        <v>59</v>
      </c>
      <c r="F1476" s="14">
        <v>70456</v>
      </c>
      <c r="G1476" s="14">
        <v>70456</v>
      </c>
      <c r="H1476">
        <f t="shared" si="46"/>
        <v>0</v>
      </c>
      <c r="I1476" s="20">
        <f t="shared" si="47"/>
        <v>45231</v>
      </c>
    </row>
    <row r="1477" spans="1:9" x14ac:dyDescent="0.2">
      <c r="A1477">
        <v>2023</v>
      </c>
      <c r="B1477">
        <v>11</v>
      </c>
      <c r="C1477" t="s">
        <v>55</v>
      </c>
      <c r="D1477" t="s">
        <v>70</v>
      </c>
      <c r="E1477" t="s">
        <v>68</v>
      </c>
      <c r="F1477" s="14">
        <v>1228683654</v>
      </c>
      <c r="G1477" s="14">
        <v>1228683654</v>
      </c>
      <c r="H1477">
        <f t="shared" si="46"/>
        <v>0</v>
      </c>
      <c r="I1477" s="20">
        <f t="shared" si="47"/>
        <v>45231</v>
      </c>
    </row>
    <row r="1478" spans="1:9" x14ac:dyDescent="0.2">
      <c r="A1478">
        <v>2023</v>
      </c>
      <c r="B1478">
        <v>11</v>
      </c>
      <c r="C1478" t="s">
        <v>55</v>
      </c>
      <c r="D1478" t="s">
        <v>70</v>
      </c>
      <c r="E1478" t="s">
        <v>78</v>
      </c>
      <c r="F1478" s="14">
        <v>9253475</v>
      </c>
      <c r="G1478" s="14">
        <v>6168983</v>
      </c>
      <c r="H1478">
        <f t="shared" si="46"/>
        <v>0</v>
      </c>
      <c r="I1478" s="20">
        <f t="shared" si="47"/>
        <v>45231</v>
      </c>
    </row>
    <row r="1479" spans="1:9" x14ac:dyDescent="0.2">
      <c r="A1479">
        <v>2023</v>
      </c>
      <c r="B1479">
        <v>11</v>
      </c>
      <c r="C1479" t="s">
        <v>55</v>
      </c>
      <c r="D1479" t="s">
        <v>70</v>
      </c>
      <c r="E1479" t="s">
        <v>61</v>
      </c>
      <c r="F1479" s="14">
        <v>1498490</v>
      </c>
      <c r="G1479" s="14">
        <v>998989</v>
      </c>
      <c r="H1479">
        <f t="shared" si="46"/>
        <v>0</v>
      </c>
      <c r="I1479" s="20">
        <f t="shared" si="47"/>
        <v>45231</v>
      </c>
    </row>
    <row r="1480" spans="1:9" x14ac:dyDescent="0.2">
      <c r="A1480">
        <v>2023</v>
      </c>
      <c r="B1480">
        <v>11</v>
      </c>
      <c r="C1480" t="s">
        <v>64</v>
      </c>
      <c r="D1480" t="s">
        <v>70</v>
      </c>
      <c r="E1480" t="s">
        <v>68</v>
      </c>
      <c r="F1480" s="14">
        <v>1110302</v>
      </c>
      <c r="G1480" s="14">
        <v>1110302</v>
      </c>
      <c r="H1480">
        <f t="shared" si="46"/>
        <v>0</v>
      </c>
      <c r="I1480" s="20">
        <f t="shared" si="47"/>
        <v>45231</v>
      </c>
    </row>
    <row r="1481" spans="1:9" x14ac:dyDescent="0.2">
      <c r="A1481">
        <v>2023</v>
      </c>
      <c r="B1481">
        <v>11</v>
      </c>
      <c r="C1481" t="s">
        <v>55</v>
      </c>
      <c r="D1481" t="s">
        <v>70</v>
      </c>
      <c r="E1481" t="s">
        <v>79</v>
      </c>
      <c r="F1481" s="14">
        <v>764623</v>
      </c>
      <c r="G1481" s="14">
        <v>449778</v>
      </c>
      <c r="H1481">
        <f t="shared" si="46"/>
        <v>1</v>
      </c>
      <c r="I1481" s="20">
        <f t="shared" si="47"/>
        <v>45231</v>
      </c>
    </row>
    <row r="1482" spans="1:9" x14ac:dyDescent="0.2">
      <c r="A1482">
        <v>2023</v>
      </c>
      <c r="B1482">
        <v>11</v>
      </c>
      <c r="C1482" t="s">
        <v>55</v>
      </c>
      <c r="D1482" t="s">
        <v>70</v>
      </c>
      <c r="E1482" t="s">
        <v>63</v>
      </c>
      <c r="F1482" s="14">
        <v>607090</v>
      </c>
      <c r="G1482" s="14">
        <v>357112</v>
      </c>
      <c r="H1482">
        <f t="shared" si="46"/>
        <v>0</v>
      </c>
      <c r="I1482" s="20">
        <f t="shared" si="47"/>
        <v>45231</v>
      </c>
    </row>
    <row r="1483" spans="1:9" x14ac:dyDescent="0.2">
      <c r="A1483">
        <v>2023</v>
      </c>
      <c r="B1483">
        <v>11</v>
      </c>
      <c r="C1483" t="s">
        <v>64</v>
      </c>
      <c r="D1483" t="s">
        <v>71</v>
      </c>
      <c r="E1483" t="s">
        <v>72</v>
      </c>
      <c r="F1483" s="14">
        <v>42559</v>
      </c>
      <c r="G1483" s="14">
        <v>42559</v>
      </c>
      <c r="H1483">
        <f t="shared" si="46"/>
        <v>0</v>
      </c>
      <c r="I1483" s="20">
        <f t="shared" si="47"/>
        <v>45231</v>
      </c>
    </row>
    <row r="1484" spans="1:9" x14ac:dyDescent="0.2">
      <c r="A1484">
        <v>2023</v>
      </c>
      <c r="B1484">
        <v>12</v>
      </c>
      <c r="C1484" t="s">
        <v>55</v>
      </c>
      <c r="D1484" t="s">
        <v>56</v>
      </c>
      <c r="E1484" t="s">
        <v>59</v>
      </c>
      <c r="F1484" s="14">
        <v>117739744</v>
      </c>
      <c r="G1484" s="14">
        <v>117739744</v>
      </c>
      <c r="H1484">
        <f t="shared" si="46"/>
        <v>0</v>
      </c>
      <c r="I1484" s="20">
        <f t="shared" si="47"/>
        <v>45261</v>
      </c>
    </row>
    <row r="1485" spans="1:9" x14ac:dyDescent="0.2">
      <c r="A1485">
        <v>2023</v>
      </c>
      <c r="B1485">
        <v>12</v>
      </c>
      <c r="C1485" t="s">
        <v>64</v>
      </c>
      <c r="D1485" t="s">
        <v>56</v>
      </c>
      <c r="E1485" t="s">
        <v>58</v>
      </c>
      <c r="F1485" s="14">
        <v>6434965</v>
      </c>
      <c r="G1485" s="14">
        <v>6434965</v>
      </c>
      <c r="H1485">
        <f t="shared" si="46"/>
        <v>0</v>
      </c>
      <c r="I1485" s="20">
        <f t="shared" si="47"/>
        <v>45261</v>
      </c>
    </row>
    <row r="1486" spans="1:9" x14ac:dyDescent="0.2">
      <c r="A1486">
        <v>2023</v>
      </c>
      <c r="B1486">
        <v>12</v>
      </c>
      <c r="C1486" t="s">
        <v>55</v>
      </c>
      <c r="D1486" t="s">
        <v>56</v>
      </c>
      <c r="E1486" t="s">
        <v>58</v>
      </c>
      <c r="F1486" s="14">
        <v>5318672</v>
      </c>
      <c r="G1486" s="14">
        <v>5318672</v>
      </c>
      <c r="H1486">
        <f t="shared" si="46"/>
        <v>0</v>
      </c>
      <c r="I1486" s="20">
        <f t="shared" si="47"/>
        <v>45261</v>
      </c>
    </row>
    <row r="1487" spans="1:9" x14ac:dyDescent="0.2">
      <c r="A1487">
        <v>2023</v>
      </c>
      <c r="B1487">
        <v>12</v>
      </c>
      <c r="C1487" t="s">
        <v>64</v>
      </c>
      <c r="D1487" t="s">
        <v>56</v>
      </c>
      <c r="E1487" t="s">
        <v>59</v>
      </c>
      <c r="F1487" s="14">
        <v>1218123</v>
      </c>
      <c r="G1487" s="14">
        <v>1218123</v>
      </c>
      <c r="H1487">
        <f t="shared" si="46"/>
        <v>0</v>
      </c>
      <c r="I1487" s="20">
        <f t="shared" si="47"/>
        <v>45261</v>
      </c>
    </row>
    <row r="1488" spans="1:9" x14ac:dyDescent="0.2">
      <c r="A1488">
        <v>2023</v>
      </c>
      <c r="B1488">
        <v>12</v>
      </c>
      <c r="C1488" t="s">
        <v>55</v>
      </c>
      <c r="D1488" t="s">
        <v>56</v>
      </c>
      <c r="E1488" t="s">
        <v>57</v>
      </c>
      <c r="F1488" s="14">
        <v>347542</v>
      </c>
      <c r="G1488" s="14">
        <v>347542</v>
      </c>
      <c r="H1488">
        <f t="shared" si="46"/>
        <v>0</v>
      </c>
      <c r="I1488" s="20">
        <f t="shared" si="47"/>
        <v>45261</v>
      </c>
    </row>
    <row r="1489" spans="1:9" x14ac:dyDescent="0.2">
      <c r="A1489">
        <v>2023</v>
      </c>
      <c r="B1489">
        <v>12</v>
      </c>
      <c r="C1489" t="s">
        <v>55</v>
      </c>
      <c r="D1489" t="s">
        <v>60</v>
      </c>
      <c r="E1489" t="s">
        <v>63</v>
      </c>
      <c r="F1489" s="14">
        <v>363632825</v>
      </c>
      <c r="G1489" s="14">
        <v>213901575</v>
      </c>
      <c r="H1489">
        <f t="shared" si="46"/>
        <v>0</v>
      </c>
      <c r="I1489" s="20">
        <f t="shared" si="47"/>
        <v>45261</v>
      </c>
    </row>
    <row r="1490" spans="1:9" x14ac:dyDescent="0.2">
      <c r="A1490">
        <v>2023</v>
      </c>
      <c r="B1490">
        <v>12</v>
      </c>
      <c r="C1490" t="s">
        <v>55</v>
      </c>
      <c r="D1490" t="s">
        <v>60</v>
      </c>
      <c r="E1490" t="s">
        <v>61</v>
      </c>
      <c r="F1490" s="14">
        <v>203985386</v>
      </c>
      <c r="G1490" s="14">
        <v>135988809</v>
      </c>
      <c r="H1490">
        <f t="shared" si="46"/>
        <v>0</v>
      </c>
      <c r="I1490" s="20">
        <f t="shared" si="47"/>
        <v>45261</v>
      </c>
    </row>
    <row r="1491" spans="1:9" x14ac:dyDescent="0.2">
      <c r="A1491">
        <v>2023</v>
      </c>
      <c r="B1491">
        <v>12</v>
      </c>
      <c r="C1491" t="s">
        <v>64</v>
      </c>
      <c r="D1491" t="s">
        <v>60</v>
      </c>
      <c r="E1491" t="s">
        <v>61</v>
      </c>
      <c r="F1491" s="14">
        <v>96890745</v>
      </c>
      <c r="G1491" s="14">
        <v>64593783</v>
      </c>
      <c r="H1491">
        <f t="shared" si="46"/>
        <v>0</v>
      </c>
      <c r="I1491" s="20">
        <f t="shared" si="47"/>
        <v>45261</v>
      </c>
    </row>
    <row r="1492" spans="1:9" x14ac:dyDescent="0.2">
      <c r="A1492">
        <v>2023</v>
      </c>
      <c r="B1492">
        <v>12</v>
      </c>
      <c r="C1492" t="s">
        <v>55</v>
      </c>
      <c r="D1492" t="s">
        <v>60</v>
      </c>
      <c r="E1492" t="s">
        <v>76</v>
      </c>
      <c r="F1492" s="14">
        <v>91850571</v>
      </c>
      <c r="G1492" s="14">
        <v>57406607</v>
      </c>
      <c r="H1492">
        <f t="shared" si="46"/>
        <v>0</v>
      </c>
      <c r="I1492" s="20">
        <f t="shared" si="47"/>
        <v>45261</v>
      </c>
    </row>
    <row r="1493" spans="1:9" x14ac:dyDescent="0.2">
      <c r="A1493">
        <v>2023</v>
      </c>
      <c r="B1493">
        <v>12</v>
      </c>
      <c r="C1493" t="s">
        <v>62</v>
      </c>
      <c r="D1493" t="s">
        <v>60</v>
      </c>
      <c r="E1493" t="s">
        <v>63</v>
      </c>
      <c r="F1493" s="14">
        <v>78164434</v>
      </c>
      <c r="G1493" s="14">
        <v>45979079</v>
      </c>
      <c r="H1493">
        <f t="shared" si="46"/>
        <v>0</v>
      </c>
      <c r="I1493" s="20">
        <f t="shared" si="47"/>
        <v>45261</v>
      </c>
    </row>
    <row r="1494" spans="1:9" x14ac:dyDescent="0.2">
      <c r="A1494">
        <v>2023</v>
      </c>
      <c r="B1494">
        <v>12</v>
      </c>
      <c r="C1494" t="s">
        <v>62</v>
      </c>
      <c r="D1494" t="s">
        <v>60</v>
      </c>
      <c r="E1494" t="s">
        <v>65</v>
      </c>
      <c r="F1494" s="14">
        <v>3686716</v>
      </c>
      <c r="G1494" s="14">
        <v>2304197</v>
      </c>
      <c r="H1494">
        <f t="shared" si="46"/>
        <v>1</v>
      </c>
      <c r="I1494" s="20">
        <f t="shared" si="47"/>
        <v>45261</v>
      </c>
    </row>
    <row r="1495" spans="1:9" x14ac:dyDescent="0.2">
      <c r="A1495">
        <v>2023</v>
      </c>
      <c r="B1495">
        <v>12</v>
      </c>
      <c r="C1495" t="s">
        <v>62</v>
      </c>
      <c r="D1495" t="s">
        <v>60</v>
      </c>
      <c r="E1495" t="s">
        <v>76</v>
      </c>
      <c r="F1495" s="14">
        <v>3577606</v>
      </c>
      <c r="G1495" s="14">
        <v>2236004</v>
      </c>
      <c r="H1495">
        <f t="shared" si="46"/>
        <v>0</v>
      </c>
      <c r="I1495" s="20">
        <f t="shared" si="47"/>
        <v>45261</v>
      </c>
    </row>
    <row r="1496" spans="1:9" x14ac:dyDescent="0.2">
      <c r="A1496">
        <v>2023</v>
      </c>
      <c r="B1496">
        <v>12</v>
      </c>
      <c r="C1496" t="s">
        <v>55</v>
      </c>
      <c r="D1496" t="s">
        <v>60</v>
      </c>
      <c r="E1496" t="s">
        <v>69</v>
      </c>
      <c r="F1496" s="14">
        <v>553021</v>
      </c>
      <c r="G1496" s="14">
        <v>345639</v>
      </c>
      <c r="H1496">
        <f t="shared" si="46"/>
        <v>0</v>
      </c>
      <c r="I1496" s="20">
        <f t="shared" si="47"/>
        <v>45261</v>
      </c>
    </row>
    <row r="1497" spans="1:9" x14ac:dyDescent="0.2">
      <c r="A1497">
        <v>2023</v>
      </c>
      <c r="B1497">
        <v>12</v>
      </c>
      <c r="C1497" t="s">
        <v>55</v>
      </c>
      <c r="D1497" t="s">
        <v>60</v>
      </c>
      <c r="E1497" t="s">
        <v>65</v>
      </c>
      <c r="F1497" s="14">
        <v>188691</v>
      </c>
      <c r="G1497" s="14">
        <v>117932</v>
      </c>
      <c r="H1497">
        <f t="shared" si="46"/>
        <v>1</v>
      </c>
      <c r="I1497" s="20">
        <f t="shared" si="47"/>
        <v>45261</v>
      </c>
    </row>
    <row r="1498" spans="1:9" x14ac:dyDescent="0.2">
      <c r="A1498">
        <v>2023</v>
      </c>
      <c r="B1498">
        <v>12</v>
      </c>
      <c r="C1498" t="s">
        <v>55</v>
      </c>
      <c r="D1498" t="s">
        <v>66</v>
      </c>
      <c r="E1498" t="s">
        <v>67</v>
      </c>
      <c r="F1498" s="14">
        <v>8066233</v>
      </c>
      <c r="G1498" s="14">
        <v>5377475</v>
      </c>
      <c r="H1498">
        <f t="shared" si="46"/>
        <v>0</v>
      </c>
      <c r="I1498" s="20">
        <f t="shared" si="47"/>
        <v>45261</v>
      </c>
    </row>
    <row r="1499" spans="1:9" x14ac:dyDescent="0.2">
      <c r="A1499">
        <v>2023</v>
      </c>
      <c r="B1499">
        <v>12</v>
      </c>
      <c r="C1499" t="s">
        <v>55</v>
      </c>
      <c r="D1499" t="s">
        <v>66</v>
      </c>
      <c r="E1499" t="s">
        <v>63</v>
      </c>
      <c r="F1499" s="14">
        <v>6065288</v>
      </c>
      <c r="G1499" s="14">
        <v>3567815</v>
      </c>
      <c r="H1499">
        <f t="shared" si="46"/>
        <v>0</v>
      </c>
      <c r="I1499" s="20">
        <f t="shared" si="47"/>
        <v>45261</v>
      </c>
    </row>
    <row r="1500" spans="1:9" x14ac:dyDescent="0.2">
      <c r="A1500">
        <v>2023</v>
      </c>
      <c r="B1500">
        <v>12</v>
      </c>
      <c r="C1500" t="s">
        <v>55</v>
      </c>
      <c r="D1500" t="s">
        <v>66</v>
      </c>
      <c r="E1500" t="s">
        <v>68</v>
      </c>
      <c r="F1500" s="14">
        <v>2650392</v>
      </c>
      <c r="G1500" s="14">
        <v>2650392</v>
      </c>
      <c r="H1500">
        <f t="shared" si="46"/>
        <v>0</v>
      </c>
      <c r="I1500" s="20">
        <f t="shared" si="47"/>
        <v>45261</v>
      </c>
    </row>
    <row r="1501" spans="1:9" x14ac:dyDescent="0.2">
      <c r="A1501">
        <v>2023</v>
      </c>
      <c r="B1501">
        <v>12</v>
      </c>
      <c r="C1501" t="s">
        <v>55</v>
      </c>
      <c r="D1501" t="s">
        <v>66</v>
      </c>
      <c r="E1501" t="s">
        <v>74</v>
      </c>
      <c r="F1501" s="14">
        <v>830777</v>
      </c>
      <c r="G1501" s="14">
        <v>755252</v>
      </c>
      <c r="H1501">
        <f t="shared" si="46"/>
        <v>0</v>
      </c>
      <c r="I1501" s="20">
        <f t="shared" si="47"/>
        <v>45261</v>
      </c>
    </row>
    <row r="1502" spans="1:9" x14ac:dyDescent="0.2">
      <c r="A1502">
        <v>2023</v>
      </c>
      <c r="B1502">
        <v>12</v>
      </c>
      <c r="C1502" t="s">
        <v>55</v>
      </c>
      <c r="D1502" t="s">
        <v>66</v>
      </c>
      <c r="E1502" t="s">
        <v>69</v>
      </c>
      <c r="F1502" s="14">
        <v>276151</v>
      </c>
      <c r="G1502" s="14">
        <v>172594</v>
      </c>
      <c r="H1502">
        <f t="shared" si="46"/>
        <v>0</v>
      </c>
      <c r="I1502" s="20">
        <f t="shared" si="47"/>
        <v>45261</v>
      </c>
    </row>
    <row r="1503" spans="1:9" x14ac:dyDescent="0.2">
      <c r="A1503">
        <v>2023</v>
      </c>
      <c r="B1503">
        <v>12</v>
      </c>
      <c r="C1503" t="s">
        <v>55</v>
      </c>
      <c r="D1503" t="s">
        <v>66</v>
      </c>
      <c r="E1503" t="s">
        <v>75</v>
      </c>
      <c r="F1503" s="14">
        <v>263237</v>
      </c>
      <c r="G1503" s="14">
        <v>188026</v>
      </c>
      <c r="H1503">
        <f t="shared" si="46"/>
        <v>0</v>
      </c>
      <c r="I1503" s="20">
        <f t="shared" si="47"/>
        <v>45261</v>
      </c>
    </row>
    <row r="1504" spans="1:9" x14ac:dyDescent="0.2">
      <c r="A1504">
        <v>2023</v>
      </c>
      <c r="B1504">
        <v>12</v>
      </c>
      <c r="C1504" t="s">
        <v>55</v>
      </c>
      <c r="D1504" t="s">
        <v>66</v>
      </c>
      <c r="E1504" t="s">
        <v>59</v>
      </c>
      <c r="F1504" s="14">
        <v>114960</v>
      </c>
      <c r="G1504" s="14">
        <v>114960</v>
      </c>
      <c r="H1504">
        <f t="shared" si="46"/>
        <v>0</v>
      </c>
      <c r="I1504" s="20">
        <f t="shared" si="47"/>
        <v>45261</v>
      </c>
    </row>
    <row r="1505" spans="1:9" x14ac:dyDescent="0.2">
      <c r="A1505">
        <v>2023</v>
      </c>
      <c r="B1505">
        <v>12</v>
      </c>
      <c r="C1505" t="s">
        <v>55</v>
      </c>
      <c r="D1505" t="s">
        <v>70</v>
      </c>
      <c r="E1505" t="s">
        <v>68</v>
      </c>
      <c r="F1505" s="14">
        <v>1253184058</v>
      </c>
      <c r="G1505" s="14">
        <v>1253184058</v>
      </c>
      <c r="H1505">
        <f t="shared" si="46"/>
        <v>0</v>
      </c>
      <c r="I1505" s="20">
        <f t="shared" si="47"/>
        <v>45261</v>
      </c>
    </row>
    <row r="1506" spans="1:9" x14ac:dyDescent="0.2">
      <c r="A1506">
        <v>2023</v>
      </c>
      <c r="B1506">
        <v>12</v>
      </c>
      <c r="C1506" t="s">
        <v>64</v>
      </c>
      <c r="D1506" t="s">
        <v>70</v>
      </c>
      <c r="E1506" t="s">
        <v>61</v>
      </c>
      <c r="F1506" s="14">
        <v>6393533</v>
      </c>
      <c r="G1506" s="14">
        <v>4262355</v>
      </c>
      <c r="H1506">
        <f t="shared" si="46"/>
        <v>0</v>
      </c>
      <c r="I1506" s="20">
        <f t="shared" si="47"/>
        <v>45261</v>
      </c>
    </row>
    <row r="1507" spans="1:9" x14ac:dyDescent="0.2">
      <c r="A1507">
        <v>2023</v>
      </c>
      <c r="B1507">
        <v>12</v>
      </c>
      <c r="C1507" t="s">
        <v>55</v>
      </c>
      <c r="D1507" t="s">
        <v>70</v>
      </c>
      <c r="E1507" t="s">
        <v>78</v>
      </c>
      <c r="F1507" s="14">
        <v>1197274</v>
      </c>
      <c r="G1507" s="14">
        <v>798182</v>
      </c>
      <c r="H1507">
        <f t="shared" si="46"/>
        <v>0</v>
      </c>
      <c r="I1507" s="20">
        <f t="shared" si="47"/>
        <v>45261</v>
      </c>
    </row>
    <row r="1508" spans="1:9" x14ac:dyDescent="0.2">
      <c r="A1508">
        <v>2023</v>
      </c>
      <c r="B1508">
        <v>12</v>
      </c>
      <c r="C1508" t="s">
        <v>64</v>
      </c>
      <c r="D1508" t="s">
        <v>70</v>
      </c>
      <c r="E1508" t="s">
        <v>68</v>
      </c>
      <c r="F1508" s="14">
        <v>1174079</v>
      </c>
      <c r="G1508" s="14">
        <v>1174079</v>
      </c>
      <c r="H1508">
        <f t="shared" si="46"/>
        <v>0</v>
      </c>
      <c r="I1508" s="20">
        <f t="shared" si="47"/>
        <v>45261</v>
      </c>
    </row>
    <row r="1509" spans="1:9" x14ac:dyDescent="0.2">
      <c r="A1509">
        <v>2023</v>
      </c>
      <c r="B1509">
        <v>12</v>
      </c>
      <c r="C1509" t="s">
        <v>55</v>
      </c>
      <c r="D1509" t="s">
        <v>70</v>
      </c>
      <c r="E1509" t="s">
        <v>61</v>
      </c>
      <c r="F1509" s="14">
        <v>195565</v>
      </c>
      <c r="G1509" s="14">
        <v>130372</v>
      </c>
      <c r="H1509">
        <f t="shared" si="46"/>
        <v>0</v>
      </c>
      <c r="I1509" s="20">
        <f t="shared" si="47"/>
        <v>45261</v>
      </c>
    </row>
    <row r="1510" spans="1:9" x14ac:dyDescent="0.2">
      <c r="A1510">
        <v>2023</v>
      </c>
      <c r="B1510">
        <v>12</v>
      </c>
      <c r="C1510" t="s">
        <v>55</v>
      </c>
      <c r="D1510" t="s">
        <v>70</v>
      </c>
      <c r="E1510" t="s">
        <v>79</v>
      </c>
      <c r="F1510" s="14">
        <v>24475</v>
      </c>
      <c r="G1510" s="14">
        <v>14397</v>
      </c>
      <c r="H1510">
        <f t="shared" si="46"/>
        <v>1</v>
      </c>
      <c r="I1510" s="20">
        <f t="shared" si="47"/>
        <v>45261</v>
      </c>
    </row>
    <row r="1511" spans="1:9" x14ac:dyDescent="0.2">
      <c r="A1511">
        <v>2024</v>
      </c>
      <c r="B1511">
        <v>1</v>
      </c>
      <c r="C1511" t="s">
        <v>55</v>
      </c>
      <c r="D1511" t="s">
        <v>56</v>
      </c>
      <c r="E1511" t="s">
        <v>59</v>
      </c>
      <c r="F1511" s="14">
        <v>6482643</v>
      </c>
      <c r="G1511" s="14">
        <v>6482643</v>
      </c>
      <c r="H1511">
        <f t="shared" si="46"/>
        <v>0</v>
      </c>
      <c r="I1511" s="20">
        <f t="shared" si="47"/>
        <v>45292</v>
      </c>
    </row>
    <row r="1512" spans="1:9" x14ac:dyDescent="0.2">
      <c r="A1512">
        <v>2024</v>
      </c>
      <c r="B1512">
        <v>1</v>
      </c>
      <c r="C1512" t="s">
        <v>55</v>
      </c>
      <c r="D1512" t="s">
        <v>56</v>
      </c>
      <c r="E1512" t="s">
        <v>58</v>
      </c>
      <c r="F1512" s="14">
        <v>503018</v>
      </c>
      <c r="G1512" s="14">
        <v>503018</v>
      </c>
      <c r="H1512">
        <f t="shared" si="46"/>
        <v>0</v>
      </c>
      <c r="I1512" s="20">
        <f t="shared" si="47"/>
        <v>45292</v>
      </c>
    </row>
    <row r="1513" spans="1:9" x14ac:dyDescent="0.2">
      <c r="A1513">
        <v>2024</v>
      </c>
      <c r="B1513">
        <v>1</v>
      </c>
      <c r="C1513" t="s">
        <v>55</v>
      </c>
      <c r="D1513" t="s">
        <v>56</v>
      </c>
      <c r="E1513" t="s">
        <v>57</v>
      </c>
      <c r="F1513" s="14">
        <v>220800</v>
      </c>
      <c r="G1513" s="14">
        <v>220800</v>
      </c>
      <c r="H1513">
        <f t="shared" si="46"/>
        <v>0</v>
      </c>
      <c r="I1513" s="20">
        <f t="shared" si="47"/>
        <v>45292</v>
      </c>
    </row>
    <row r="1514" spans="1:9" x14ac:dyDescent="0.2">
      <c r="A1514">
        <v>2024</v>
      </c>
      <c r="B1514">
        <v>1</v>
      </c>
      <c r="C1514" t="s">
        <v>55</v>
      </c>
      <c r="D1514" t="s">
        <v>60</v>
      </c>
      <c r="E1514" t="s">
        <v>63</v>
      </c>
      <c r="F1514" s="14">
        <v>300272904</v>
      </c>
      <c r="G1514" s="14">
        <v>176631059</v>
      </c>
      <c r="H1514">
        <f t="shared" si="46"/>
        <v>0</v>
      </c>
      <c r="I1514" s="20">
        <f t="shared" si="47"/>
        <v>45292</v>
      </c>
    </row>
    <row r="1515" spans="1:9" x14ac:dyDescent="0.2">
      <c r="A1515">
        <v>2024</v>
      </c>
      <c r="B1515">
        <v>1</v>
      </c>
      <c r="C1515" t="s">
        <v>55</v>
      </c>
      <c r="D1515" t="s">
        <v>60</v>
      </c>
      <c r="E1515" t="s">
        <v>61</v>
      </c>
      <c r="F1515" s="14">
        <v>181159301</v>
      </c>
      <c r="G1515" s="14">
        <v>120771653</v>
      </c>
      <c r="H1515">
        <f t="shared" si="46"/>
        <v>0</v>
      </c>
      <c r="I1515" s="20">
        <f t="shared" si="47"/>
        <v>45292</v>
      </c>
    </row>
    <row r="1516" spans="1:9" x14ac:dyDescent="0.2">
      <c r="A1516">
        <v>2024</v>
      </c>
      <c r="B1516">
        <v>1</v>
      </c>
      <c r="C1516" t="s">
        <v>55</v>
      </c>
      <c r="D1516" t="s">
        <v>60</v>
      </c>
      <c r="E1516" t="s">
        <v>76</v>
      </c>
      <c r="F1516" s="14">
        <v>77405483</v>
      </c>
      <c r="G1516" s="14">
        <v>48378427</v>
      </c>
      <c r="H1516">
        <f t="shared" si="46"/>
        <v>0</v>
      </c>
      <c r="I1516" s="20">
        <f t="shared" si="47"/>
        <v>45292</v>
      </c>
    </row>
    <row r="1517" spans="1:9" x14ac:dyDescent="0.2">
      <c r="A1517">
        <v>2024</v>
      </c>
      <c r="B1517">
        <v>1</v>
      </c>
      <c r="C1517" t="s">
        <v>64</v>
      </c>
      <c r="D1517" t="s">
        <v>60</v>
      </c>
      <c r="E1517" t="s">
        <v>61</v>
      </c>
      <c r="F1517" s="14">
        <v>60472149</v>
      </c>
      <c r="G1517" s="14">
        <v>40314733</v>
      </c>
      <c r="H1517">
        <f t="shared" si="46"/>
        <v>0</v>
      </c>
      <c r="I1517" s="20">
        <f t="shared" si="47"/>
        <v>45292</v>
      </c>
    </row>
    <row r="1518" spans="1:9" x14ac:dyDescent="0.2">
      <c r="A1518">
        <v>2024</v>
      </c>
      <c r="B1518">
        <v>1</v>
      </c>
      <c r="C1518" t="s">
        <v>62</v>
      </c>
      <c r="D1518" t="s">
        <v>60</v>
      </c>
      <c r="E1518" t="s">
        <v>63</v>
      </c>
      <c r="F1518" s="14">
        <v>41196032</v>
      </c>
      <c r="G1518" s="14">
        <v>24232960</v>
      </c>
      <c r="H1518">
        <f t="shared" si="46"/>
        <v>0</v>
      </c>
      <c r="I1518" s="20">
        <f t="shared" si="47"/>
        <v>45292</v>
      </c>
    </row>
    <row r="1519" spans="1:9" x14ac:dyDescent="0.2">
      <c r="A1519">
        <v>2024</v>
      </c>
      <c r="B1519">
        <v>1</v>
      </c>
      <c r="C1519" t="s">
        <v>62</v>
      </c>
      <c r="D1519" t="s">
        <v>60</v>
      </c>
      <c r="E1519" t="s">
        <v>65</v>
      </c>
      <c r="F1519" s="14">
        <v>14122768</v>
      </c>
      <c r="G1519" s="14">
        <v>8826729</v>
      </c>
      <c r="H1519">
        <f t="shared" si="46"/>
        <v>1</v>
      </c>
      <c r="I1519" s="20">
        <f t="shared" si="47"/>
        <v>45292</v>
      </c>
    </row>
    <row r="1520" spans="1:9" x14ac:dyDescent="0.2">
      <c r="A1520">
        <v>2024</v>
      </c>
      <c r="B1520">
        <v>1</v>
      </c>
      <c r="C1520" t="s">
        <v>55</v>
      </c>
      <c r="D1520" t="s">
        <v>60</v>
      </c>
      <c r="E1520" t="s">
        <v>65</v>
      </c>
      <c r="F1520" s="14">
        <v>1334237</v>
      </c>
      <c r="G1520" s="14">
        <v>833897</v>
      </c>
      <c r="H1520">
        <f t="shared" si="46"/>
        <v>1</v>
      </c>
      <c r="I1520" s="20">
        <f t="shared" si="47"/>
        <v>45292</v>
      </c>
    </row>
    <row r="1521" spans="1:9" x14ac:dyDescent="0.2">
      <c r="A1521">
        <v>2024</v>
      </c>
      <c r="B1521">
        <v>1</v>
      </c>
      <c r="C1521" t="s">
        <v>55</v>
      </c>
      <c r="D1521" t="s">
        <v>66</v>
      </c>
      <c r="E1521" t="s">
        <v>63</v>
      </c>
      <c r="F1521" s="14">
        <v>8841325</v>
      </c>
      <c r="G1521" s="14">
        <v>5200778</v>
      </c>
      <c r="H1521">
        <f t="shared" si="46"/>
        <v>0</v>
      </c>
      <c r="I1521" s="20">
        <f t="shared" si="47"/>
        <v>45292</v>
      </c>
    </row>
    <row r="1522" spans="1:9" x14ac:dyDescent="0.2">
      <c r="A1522">
        <v>2024</v>
      </c>
      <c r="B1522">
        <v>1</v>
      </c>
      <c r="C1522" t="s">
        <v>55</v>
      </c>
      <c r="D1522" t="s">
        <v>66</v>
      </c>
      <c r="E1522" t="s">
        <v>67</v>
      </c>
      <c r="F1522" s="14">
        <v>5652051</v>
      </c>
      <c r="G1522" s="14">
        <v>3768026</v>
      </c>
      <c r="H1522">
        <f t="shared" si="46"/>
        <v>0</v>
      </c>
      <c r="I1522" s="20">
        <f t="shared" si="47"/>
        <v>45292</v>
      </c>
    </row>
    <row r="1523" spans="1:9" x14ac:dyDescent="0.2">
      <c r="A1523">
        <v>2024</v>
      </c>
      <c r="B1523">
        <v>1</v>
      </c>
      <c r="C1523" t="s">
        <v>55</v>
      </c>
      <c r="D1523" t="s">
        <v>66</v>
      </c>
      <c r="E1523" t="s">
        <v>68</v>
      </c>
      <c r="F1523" s="14">
        <v>2544908</v>
      </c>
      <c r="G1523" s="14">
        <v>2544908</v>
      </c>
      <c r="H1523">
        <f t="shared" si="46"/>
        <v>0</v>
      </c>
      <c r="I1523" s="20">
        <f t="shared" si="47"/>
        <v>45292</v>
      </c>
    </row>
    <row r="1524" spans="1:9" x14ac:dyDescent="0.2">
      <c r="A1524">
        <v>2024</v>
      </c>
      <c r="B1524">
        <v>1</v>
      </c>
      <c r="C1524" t="s">
        <v>55</v>
      </c>
      <c r="D1524" t="s">
        <v>66</v>
      </c>
      <c r="E1524" t="s">
        <v>69</v>
      </c>
      <c r="F1524" s="14">
        <v>1012545</v>
      </c>
      <c r="G1524" s="14">
        <v>632838</v>
      </c>
      <c r="H1524">
        <f t="shared" si="46"/>
        <v>0</v>
      </c>
      <c r="I1524" s="20">
        <f t="shared" si="47"/>
        <v>45292</v>
      </c>
    </row>
    <row r="1525" spans="1:9" x14ac:dyDescent="0.2">
      <c r="A1525">
        <v>2024</v>
      </c>
      <c r="B1525">
        <v>1</v>
      </c>
      <c r="C1525" t="s">
        <v>55</v>
      </c>
      <c r="D1525" t="s">
        <v>70</v>
      </c>
      <c r="E1525" t="s">
        <v>68</v>
      </c>
      <c r="F1525" s="14">
        <v>1206083035</v>
      </c>
      <c r="G1525" s="14">
        <v>1206083035</v>
      </c>
      <c r="H1525">
        <f t="shared" si="46"/>
        <v>0</v>
      </c>
      <c r="I1525" s="20">
        <f t="shared" si="47"/>
        <v>45292</v>
      </c>
    </row>
    <row r="1526" spans="1:9" x14ac:dyDescent="0.2">
      <c r="A1526">
        <v>2024</v>
      </c>
      <c r="B1526">
        <v>1</v>
      </c>
      <c r="C1526" t="s">
        <v>55</v>
      </c>
      <c r="D1526" t="s">
        <v>70</v>
      </c>
      <c r="E1526" t="s">
        <v>61</v>
      </c>
      <c r="F1526" s="14">
        <v>1634348</v>
      </c>
      <c r="G1526" s="14">
        <v>1089558</v>
      </c>
      <c r="H1526">
        <f t="shared" si="46"/>
        <v>0</v>
      </c>
      <c r="I1526" s="20">
        <f t="shared" si="47"/>
        <v>45292</v>
      </c>
    </row>
    <row r="1527" spans="1:9" x14ac:dyDescent="0.2">
      <c r="A1527">
        <v>2024</v>
      </c>
      <c r="B1527">
        <v>1</v>
      </c>
      <c r="C1527" t="s">
        <v>64</v>
      </c>
      <c r="D1527" t="s">
        <v>70</v>
      </c>
      <c r="E1527" t="s">
        <v>68</v>
      </c>
      <c r="F1527" s="14">
        <v>1114087</v>
      </c>
      <c r="G1527" s="14">
        <v>1114087</v>
      </c>
      <c r="H1527">
        <f t="shared" si="46"/>
        <v>0</v>
      </c>
      <c r="I1527" s="20">
        <f t="shared" si="47"/>
        <v>45292</v>
      </c>
    </row>
    <row r="1528" spans="1:9" x14ac:dyDescent="0.2">
      <c r="A1528">
        <v>2024</v>
      </c>
      <c r="B1528">
        <v>1</v>
      </c>
      <c r="C1528" t="s">
        <v>64</v>
      </c>
      <c r="D1528" t="s">
        <v>71</v>
      </c>
      <c r="E1528" t="s">
        <v>72</v>
      </c>
      <c r="F1528" s="14">
        <v>60218</v>
      </c>
      <c r="G1528" s="14">
        <v>60218</v>
      </c>
      <c r="H1528">
        <f t="shared" si="46"/>
        <v>0</v>
      </c>
      <c r="I1528" s="20">
        <f t="shared" si="47"/>
        <v>45292</v>
      </c>
    </row>
    <row r="1529" spans="1:9" x14ac:dyDescent="0.2">
      <c r="A1529">
        <v>2024</v>
      </c>
      <c r="B1529">
        <v>2</v>
      </c>
      <c r="C1529" t="s">
        <v>55</v>
      </c>
      <c r="D1529" t="s">
        <v>56</v>
      </c>
      <c r="E1529" t="s">
        <v>59</v>
      </c>
      <c r="F1529" s="14">
        <v>62278065</v>
      </c>
      <c r="G1529" s="14">
        <v>62278065</v>
      </c>
      <c r="H1529">
        <f t="shared" si="46"/>
        <v>0</v>
      </c>
      <c r="I1529" s="20">
        <f t="shared" si="47"/>
        <v>45323</v>
      </c>
    </row>
    <row r="1530" spans="1:9" x14ac:dyDescent="0.2">
      <c r="A1530">
        <v>2024</v>
      </c>
      <c r="B1530">
        <v>2</v>
      </c>
      <c r="C1530" t="s">
        <v>64</v>
      </c>
      <c r="D1530" t="s">
        <v>56</v>
      </c>
      <c r="E1530" t="s">
        <v>58</v>
      </c>
      <c r="F1530" s="14">
        <v>3349813</v>
      </c>
      <c r="G1530" s="14">
        <v>3349813</v>
      </c>
      <c r="H1530">
        <f t="shared" si="46"/>
        <v>0</v>
      </c>
      <c r="I1530" s="20">
        <f t="shared" si="47"/>
        <v>45323</v>
      </c>
    </row>
    <row r="1531" spans="1:9" x14ac:dyDescent="0.2">
      <c r="A1531">
        <v>2024</v>
      </c>
      <c r="B1531">
        <v>2</v>
      </c>
      <c r="C1531" t="s">
        <v>55</v>
      </c>
      <c r="D1531" t="s">
        <v>56</v>
      </c>
      <c r="E1531" t="s">
        <v>58</v>
      </c>
      <c r="F1531" s="14">
        <v>3126529</v>
      </c>
      <c r="G1531" s="14">
        <v>3126529</v>
      </c>
      <c r="H1531">
        <f t="shared" si="46"/>
        <v>0</v>
      </c>
      <c r="I1531" s="20">
        <f t="shared" si="47"/>
        <v>45323</v>
      </c>
    </row>
    <row r="1532" spans="1:9" x14ac:dyDescent="0.2">
      <c r="A1532">
        <v>2024</v>
      </c>
      <c r="B1532">
        <v>2</v>
      </c>
      <c r="C1532" t="s">
        <v>64</v>
      </c>
      <c r="D1532" t="s">
        <v>56</v>
      </c>
      <c r="E1532" t="s">
        <v>59</v>
      </c>
      <c r="F1532" s="14">
        <v>658357</v>
      </c>
      <c r="G1532" s="14">
        <v>658357</v>
      </c>
      <c r="H1532">
        <f t="shared" si="46"/>
        <v>0</v>
      </c>
      <c r="I1532" s="20">
        <f t="shared" si="47"/>
        <v>45323</v>
      </c>
    </row>
    <row r="1533" spans="1:9" x14ac:dyDescent="0.2">
      <c r="A1533">
        <v>2024</v>
      </c>
      <c r="B1533">
        <v>2</v>
      </c>
      <c r="C1533" t="s">
        <v>55</v>
      </c>
      <c r="D1533" t="s">
        <v>56</v>
      </c>
      <c r="E1533" t="s">
        <v>57</v>
      </c>
      <c r="F1533" s="14">
        <v>153198</v>
      </c>
      <c r="G1533" s="14">
        <v>153198</v>
      </c>
      <c r="H1533">
        <f t="shared" si="46"/>
        <v>0</v>
      </c>
      <c r="I1533" s="20">
        <f t="shared" si="47"/>
        <v>45323</v>
      </c>
    </row>
    <row r="1534" spans="1:9" x14ac:dyDescent="0.2">
      <c r="A1534">
        <v>2024</v>
      </c>
      <c r="B1534">
        <v>2</v>
      </c>
      <c r="C1534" t="s">
        <v>55</v>
      </c>
      <c r="D1534" t="s">
        <v>60</v>
      </c>
      <c r="E1534" t="s">
        <v>63</v>
      </c>
      <c r="F1534" s="14">
        <v>307144284</v>
      </c>
      <c r="G1534" s="14">
        <v>180673032</v>
      </c>
      <c r="H1534">
        <f t="shared" si="46"/>
        <v>0</v>
      </c>
      <c r="I1534" s="20">
        <f t="shared" si="47"/>
        <v>45323</v>
      </c>
    </row>
    <row r="1535" spans="1:9" x14ac:dyDescent="0.2">
      <c r="A1535">
        <v>2024</v>
      </c>
      <c r="B1535">
        <v>2</v>
      </c>
      <c r="C1535" t="s">
        <v>55</v>
      </c>
      <c r="D1535" t="s">
        <v>60</v>
      </c>
      <c r="E1535" t="s">
        <v>61</v>
      </c>
      <c r="F1535" s="14">
        <v>188700908</v>
      </c>
      <c r="G1535" s="14">
        <v>125799224</v>
      </c>
      <c r="H1535">
        <f t="shared" si="46"/>
        <v>0</v>
      </c>
      <c r="I1535" s="20">
        <f t="shared" si="47"/>
        <v>45323</v>
      </c>
    </row>
    <row r="1536" spans="1:9" x14ac:dyDescent="0.2">
      <c r="A1536">
        <v>2024</v>
      </c>
      <c r="B1536">
        <v>2</v>
      </c>
      <c r="C1536" t="s">
        <v>62</v>
      </c>
      <c r="D1536" t="s">
        <v>60</v>
      </c>
      <c r="E1536" t="s">
        <v>63</v>
      </c>
      <c r="F1536" s="14">
        <v>95563499</v>
      </c>
      <c r="G1536" s="14">
        <v>56213823</v>
      </c>
      <c r="H1536">
        <f t="shared" si="46"/>
        <v>0</v>
      </c>
      <c r="I1536" s="20">
        <f t="shared" si="47"/>
        <v>45323</v>
      </c>
    </row>
    <row r="1537" spans="1:9" x14ac:dyDescent="0.2">
      <c r="A1537">
        <v>2024</v>
      </c>
      <c r="B1537">
        <v>2</v>
      </c>
      <c r="C1537" t="s">
        <v>64</v>
      </c>
      <c r="D1537" t="s">
        <v>60</v>
      </c>
      <c r="E1537" t="s">
        <v>61</v>
      </c>
      <c r="F1537" s="14">
        <v>77936865</v>
      </c>
      <c r="G1537" s="14">
        <v>51957876</v>
      </c>
      <c r="H1537">
        <f t="shared" si="46"/>
        <v>0</v>
      </c>
      <c r="I1537" s="20">
        <f t="shared" si="47"/>
        <v>45323</v>
      </c>
    </row>
    <row r="1538" spans="1:9" x14ac:dyDescent="0.2">
      <c r="A1538">
        <v>2024</v>
      </c>
      <c r="B1538">
        <v>2</v>
      </c>
      <c r="C1538" t="s">
        <v>55</v>
      </c>
      <c r="D1538" t="s">
        <v>60</v>
      </c>
      <c r="E1538" t="s">
        <v>76</v>
      </c>
      <c r="F1538" s="14">
        <v>72838066</v>
      </c>
      <c r="G1538" s="14">
        <v>45523793</v>
      </c>
      <c r="H1538">
        <f t="shared" si="46"/>
        <v>0</v>
      </c>
      <c r="I1538" s="20">
        <f t="shared" si="47"/>
        <v>45323</v>
      </c>
    </row>
    <row r="1539" spans="1:9" x14ac:dyDescent="0.2">
      <c r="A1539">
        <v>2024</v>
      </c>
      <c r="B1539">
        <v>2</v>
      </c>
      <c r="C1539" t="s">
        <v>55</v>
      </c>
      <c r="D1539" t="s">
        <v>60</v>
      </c>
      <c r="E1539" t="s">
        <v>65</v>
      </c>
      <c r="F1539" s="14">
        <v>2007904</v>
      </c>
      <c r="G1539" s="14">
        <v>1254939</v>
      </c>
      <c r="H1539">
        <f t="shared" ref="H1539:H1602" si="48">--ISNUMBER(SEARCH("Jet Fuel",E1539))</f>
        <v>1</v>
      </c>
      <c r="I1539" s="20">
        <f t="shared" ref="I1539:I1602" si="49">DATE(A1539,B1539,1)</f>
        <v>45323</v>
      </c>
    </row>
    <row r="1540" spans="1:9" x14ac:dyDescent="0.2">
      <c r="A1540">
        <v>2024</v>
      </c>
      <c r="B1540">
        <v>2</v>
      </c>
      <c r="C1540" t="s">
        <v>55</v>
      </c>
      <c r="D1540" t="s">
        <v>60</v>
      </c>
      <c r="E1540" t="s">
        <v>69</v>
      </c>
      <c r="F1540" s="14">
        <v>157995</v>
      </c>
      <c r="G1540" s="14">
        <v>98746</v>
      </c>
      <c r="H1540">
        <f t="shared" si="48"/>
        <v>0</v>
      </c>
      <c r="I1540" s="20">
        <f t="shared" si="49"/>
        <v>45323</v>
      </c>
    </row>
    <row r="1541" spans="1:9" x14ac:dyDescent="0.2">
      <c r="A1541">
        <v>2024</v>
      </c>
      <c r="B1541">
        <v>2</v>
      </c>
      <c r="C1541" t="s">
        <v>55</v>
      </c>
      <c r="D1541" t="s">
        <v>66</v>
      </c>
      <c r="E1541" t="s">
        <v>67</v>
      </c>
      <c r="F1541" s="14">
        <v>6769210</v>
      </c>
      <c r="G1541" s="14">
        <v>4512787</v>
      </c>
      <c r="H1541">
        <f t="shared" si="48"/>
        <v>0</v>
      </c>
      <c r="I1541" s="20">
        <f t="shared" si="49"/>
        <v>45323</v>
      </c>
    </row>
    <row r="1542" spans="1:9" x14ac:dyDescent="0.2">
      <c r="A1542">
        <v>2024</v>
      </c>
      <c r="B1542">
        <v>2</v>
      </c>
      <c r="C1542" t="s">
        <v>55</v>
      </c>
      <c r="D1542" t="s">
        <v>66</v>
      </c>
      <c r="E1542" t="s">
        <v>63</v>
      </c>
      <c r="F1542" s="14">
        <v>6689848</v>
      </c>
      <c r="G1542" s="14">
        <v>3935204</v>
      </c>
      <c r="H1542">
        <f t="shared" si="48"/>
        <v>0</v>
      </c>
      <c r="I1542" s="20">
        <f t="shared" si="49"/>
        <v>45323</v>
      </c>
    </row>
    <row r="1543" spans="1:9" x14ac:dyDescent="0.2">
      <c r="A1543">
        <v>2024</v>
      </c>
      <c r="B1543">
        <v>2</v>
      </c>
      <c r="C1543" t="s">
        <v>55</v>
      </c>
      <c r="D1543" t="s">
        <v>66</v>
      </c>
      <c r="E1543" t="s">
        <v>68</v>
      </c>
      <c r="F1543" s="14">
        <v>2449930</v>
      </c>
      <c r="G1543" s="14">
        <v>2449930</v>
      </c>
      <c r="H1543">
        <f t="shared" si="48"/>
        <v>0</v>
      </c>
      <c r="I1543" s="20">
        <f t="shared" si="49"/>
        <v>45323</v>
      </c>
    </row>
    <row r="1544" spans="1:9" x14ac:dyDescent="0.2">
      <c r="A1544">
        <v>2024</v>
      </c>
      <c r="B1544">
        <v>2</v>
      </c>
      <c r="C1544" t="s">
        <v>55</v>
      </c>
      <c r="D1544" t="s">
        <v>66</v>
      </c>
      <c r="E1544" t="s">
        <v>75</v>
      </c>
      <c r="F1544" s="14">
        <v>688076</v>
      </c>
      <c r="G1544" s="14">
        <v>491483</v>
      </c>
      <c r="H1544">
        <f t="shared" si="48"/>
        <v>0</v>
      </c>
      <c r="I1544" s="20">
        <f t="shared" si="49"/>
        <v>45323</v>
      </c>
    </row>
    <row r="1545" spans="1:9" x14ac:dyDescent="0.2">
      <c r="A1545">
        <v>2024</v>
      </c>
      <c r="B1545">
        <v>2</v>
      </c>
      <c r="C1545" t="s">
        <v>55</v>
      </c>
      <c r="D1545" t="s">
        <v>66</v>
      </c>
      <c r="E1545" t="s">
        <v>74</v>
      </c>
      <c r="F1545" s="14">
        <v>322132</v>
      </c>
      <c r="G1545" s="14">
        <v>292847</v>
      </c>
      <c r="H1545">
        <f t="shared" si="48"/>
        <v>0</v>
      </c>
      <c r="I1545" s="20">
        <f t="shared" si="49"/>
        <v>45323</v>
      </c>
    </row>
    <row r="1546" spans="1:9" x14ac:dyDescent="0.2">
      <c r="A1546">
        <v>2024</v>
      </c>
      <c r="B1546">
        <v>2</v>
      </c>
      <c r="C1546" t="s">
        <v>55</v>
      </c>
      <c r="D1546" t="s">
        <v>66</v>
      </c>
      <c r="E1546" t="s">
        <v>59</v>
      </c>
      <c r="F1546" s="14">
        <v>65859</v>
      </c>
      <c r="G1546" s="14">
        <v>65859</v>
      </c>
      <c r="H1546">
        <f t="shared" si="48"/>
        <v>0</v>
      </c>
      <c r="I1546" s="20">
        <f t="shared" si="49"/>
        <v>45323</v>
      </c>
    </row>
    <row r="1547" spans="1:9" x14ac:dyDescent="0.2">
      <c r="A1547">
        <v>2024</v>
      </c>
      <c r="B1547">
        <v>2</v>
      </c>
      <c r="C1547" t="s">
        <v>55</v>
      </c>
      <c r="D1547" t="s">
        <v>70</v>
      </c>
      <c r="E1547" t="s">
        <v>68</v>
      </c>
      <c r="F1547" s="14">
        <v>1206376762</v>
      </c>
      <c r="G1547" s="14">
        <v>1206376762</v>
      </c>
      <c r="H1547">
        <f t="shared" si="48"/>
        <v>0</v>
      </c>
      <c r="I1547" s="20">
        <f t="shared" si="49"/>
        <v>45323</v>
      </c>
    </row>
    <row r="1548" spans="1:9" x14ac:dyDescent="0.2">
      <c r="A1548">
        <v>2024</v>
      </c>
      <c r="B1548">
        <v>2</v>
      </c>
      <c r="C1548" t="s">
        <v>64</v>
      </c>
      <c r="D1548" t="s">
        <v>70</v>
      </c>
      <c r="E1548" t="s">
        <v>61</v>
      </c>
      <c r="F1548" s="14">
        <v>2293790</v>
      </c>
      <c r="G1548" s="14">
        <v>1529193</v>
      </c>
      <c r="H1548">
        <f t="shared" si="48"/>
        <v>0</v>
      </c>
      <c r="I1548" s="20">
        <f t="shared" si="49"/>
        <v>45323</v>
      </c>
    </row>
    <row r="1549" spans="1:9" x14ac:dyDescent="0.2">
      <c r="A1549">
        <v>2024</v>
      </c>
      <c r="B1549">
        <v>2</v>
      </c>
      <c r="C1549" t="s">
        <v>64</v>
      </c>
      <c r="D1549" t="s">
        <v>70</v>
      </c>
      <c r="E1549" t="s">
        <v>68</v>
      </c>
      <c r="F1549" s="14">
        <v>1085195</v>
      </c>
      <c r="G1549" s="14">
        <v>1085195</v>
      </c>
      <c r="H1549">
        <f t="shared" si="48"/>
        <v>0</v>
      </c>
      <c r="I1549" s="20">
        <f t="shared" si="49"/>
        <v>45323</v>
      </c>
    </row>
    <row r="1550" spans="1:9" x14ac:dyDescent="0.2">
      <c r="A1550">
        <v>2024</v>
      </c>
      <c r="B1550">
        <v>2</v>
      </c>
      <c r="C1550" t="s">
        <v>55</v>
      </c>
      <c r="D1550" t="s">
        <v>70</v>
      </c>
      <c r="E1550" t="s">
        <v>61</v>
      </c>
      <c r="F1550" s="14">
        <v>970213</v>
      </c>
      <c r="G1550" s="14">
        <v>646803</v>
      </c>
      <c r="H1550">
        <f t="shared" si="48"/>
        <v>0</v>
      </c>
      <c r="I1550" s="20">
        <f t="shared" si="49"/>
        <v>45323</v>
      </c>
    </row>
    <row r="1551" spans="1:9" x14ac:dyDescent="0.2">
      <c r="A1551">
        <v>2024</v>
      </c>
      <c r="B1551">
        <v>3</v>
      </c>
      <c r="C1551" t="s">
        <v>55</v>
      </c>
      <c r="D1551" t="s">
        <v>56</v>
      </c>
      <c r="E1551" t="s">
        <v>59</v>
      </c>
      <c r="F1551" s="14">
        <v>59639215</v>
      </c>
      <c r="G1551" s="14">
        <v>59639215</v>
      </c>
      <c r="H1551">
        <f t="shared" si="48"/>
        <v>0</v>
      </c>
      <c r="I1551" s="20">
        <f t="shared" si="49"/>
        <v>45352</v>
      </c>
    </row>
    <row r="1552" spans="1:9" x14ac:dyDescent="0.2">
      <c r="A1552">
        <v>2024</v>
      </c>
      <c r="B1552">
        <v>3</v>
      </c>
      <c r="C1552" t="s">
        <v>64</v>
      </c>
      <c r="D1552" t="s">
        <v>56</v>
      </c>
      <c r="E1552" t="s">
        <v>58</v>
      </c>
      <c r="F1552" s="14">
        <v>3117742</v>
      </c>
      <c r="G1552" s="14">
        <v>3117742</v>
      </c>
      <c r="H1552">
        <f t="shared" si="48"/>
        <v>0</v>
      </c>
      <c r="I1552" s="20">
        <f t="shared" si="49"/>
        <v>45352</v>
      </c>
    </row>
    <row r="1553" spans="1:9" x14ac:dyDescent="0.2">
      <c r="A1553">
        <v>2024</v>
      </c>
      <c r="B1553">
        <v>3</v>
      </c>
      <c r="C1553" t="s">
        <v>55</v>
      </c>
      <c r="D1553" t="s">
        <v>56</v>
      </c>
      <c r="E1553" t="s">
        <v>58</v>
      </c>
      <c r="F1553" s="14">
        <v>2872469</v>
      </c>
      <c r="G1553" s="14">
        <v>2872469</v>
      </c>
      <c r="H1553">
        <f t="shared" si="48"/>
        <v>0</v>
      </c>
      <c r="I1553" s="20">
        <f t="shared" si="49"/>
        <v>45352</v>
      </c>
    </row>
    <row r="1554" spans="1:9" x14ac:dyDescent="0.2">
      <c r="A1554">
        <v>2024</v>
      </c>
      <c r="B1554">
        <v>3</v>
      </c>
      <c r="C1554" t="s">
        <v>64</v>
      </c>
      <c r="D1554" t="s">
        <v>56</v>
      </c>
      <c r="E1554" t="s">
        <v>59</v>
      </c>
      <c r="F1554" s="14">
        <v>608704</v>
      </c>
      <c r="G1554" s="14">
        <v>608704</v>
      </c>
      <c r="H1554">
        <f t="shared" si="48"/>
        <v>0</v>
      </c>
      <c r="I1554" s="20">
        <f t="shared" si="49"/>
        <v>45352</v>
      </c>
    </row>
    <row r="1555" spans="1:9" x14ac:dyDescent="0.2">
      <c r="A1555">
        <v>2024</v>
      </c>
      <c r="B1555">
        <v>3</v>
      </c>
      <c r="C1555" t="s">
        <v>55</v>
      </c>
      <c r="D1555" t="s">
        <v>56</v>
      </c>
      <c r="E1555" t="s">
        <v>57</v>
      </c>
      <c r="F1555" s="14">
        <v>187956</v>
      </c>
      <c r="G1555" s="14">
        <v>187956</v>
      </c>
      <c r="H1555">
        <f t="shared" si="48"/>
        <v>0</v>
      </c>
      <c r="I1555" s="20">
        <f t="shared" si="49"/>
        <v>45352</v>
      </c>
    </row>
    <row r="1556" spans="1:9" x14ac:dyDescent="0.2">
      <c r="A1556">
        <v>2024</v>
      </c>
      <c r="B1556">
        <v>3</v>
      </c>
      <c r="C1556" t="s">
        <v>55</v>
      </c>
      <c r="D1556" t="s">
        <v>60</v>
      </c>
      <c r="E1556" t="s">
        <v>63</v>
      </c>
      <c r="F1556" s="14">
        <v>280296066</v>
      </c>
      <c r="G1556" s="14">
        <v>164879956</v>
      </c>
      <c r="H1556">
        <f t="shared" si="48"/>
        <v>0</v>
      </c>
      <c r="I1556" s="20">
        <f t="shared" si="49"/>
        <v>45352</v>
      </c>
    </row>
    <row r="1557" spans="1:9" x14ac:dyDescent="0.2">
      <c r="A1557">
        <v>2024</v>
      </c>
      <c r="B1557">
        <v>3</v>
      </c>
      <c r="C1557" t="s">
        <v>55</v>
      </c>
      <c r="D1557" t="s">
        <v>60</v>
      </c>
      <c r="E1557" t="s">
        <v>61</v>
      </c>
      <c r="F1557" s="14">
        <v>201560691</v>
      </c>
      <c r="G1557" s="14">
        <v>134372270</v>
      </c>
      <c r="H1557">
        <f t="shared" si="48"/>
        <v>0</v>
      </c>
      <c r="I1557" s="20">
        <f t="shared" si="49"/>
        <v>45352</v>
      </c>
    </row>
    <row r="1558" spans="1:9" x14ac:dyDescent="0.2">
      <c r="A1558">
        <v>2024</v>
      </c>
      <c r="B1558">
        <v>3</v>
      </c>
      <c r="C1558" t="s">
        <v>55</v>
      </c>
      <c r="D1558" t="s">
        <v>60</v>
      </c>
      <c r="E1558" t="s">
        <v>76</v>
      </c>
      <c r="F1558" s="14">
        <v>72115811</v>
      </c>
      <c r="G1558" s="14">
        <v>45072383</v>
      </c>
      <c r="H1558">
        <f t="shared" si="48"/>
        <v>0</v>
      </c>
      <c r="I1558" s="20">
        <f t="shared" si="49"/>
        <v>45352</v>
      </c>
    </row>
    <row r="1559" spans="1:9" x14ac:dyDescent="0.2">
      <c r="A1559">
        <v>2024</v>
      </c>
      <c r="B1559">
        <v>3</v>
      </c>
      <c r="C1559" t="s">
        <v>62</v>
      </c>
      <c r="D1559" t="s">
        <v>60</v>
      </c>
      <c r="E1559" t="s">
        <v>63</v>
      </c>
      <c r="F1559" s="14">
        <v>45276974</v>
      </c>
      <c r="G1559" s="14">
        <v>26633514</v>
      </c>
      <c r="H1559">
        <f t="shared" si="48"/>
        <v>0</v>
      </c>
      <c r="I1559" s="20">
        <f t="shared" si="49"/>
        <v>45352</v>
      </c>
    </row>
    <row r="1560" spans="1:9" x14ac:dyDescent="0.2">
      <c r="A1560">
        <v>2024</v>
      </c>
      <c r="B1560">
        <v>3</v>
      </c>
      <c r="C1560" t="s">
        <v>64</v>
      </c>
      <c r="D1560" t="s">
        <v>60</v>
      </c>
      <c r="E1560" t="s">
        <v>61</v>
      </c>
      <c r="F1560" s="14">
        <v>44836291</v>
      </c>
      <c r="G1560" s="14">
        <v>29890832</v>
      </c>
      <c r="H1560">
        <f t="shared" si="48"/>
        <v>0</v>
      </c>
      <c r="I1560" s="20">
        <f t="shared" si="49"/>
        <v>45352</v>
      </c>
    </row>
    <row r="1561" spans="1:9" x14ac:dyDescent="0.2">
      <c r="A1561">
        <v>2024</v>
      </c>
      <c r="B1561">
        <v>3</v>
      </c>
      <c r="C1561" t="s">
        <v>62</v>
      </c>
      <c r="D1561" t="s">
        <v>60</v>
      </c>
      <c r="E1561" t="s">
        <v>65</v>
      </c>
      <c r="F1561" s="14">
        <v>9061504</v>
      </c>
      <c r="G1561" s="14">
        <v>5663440</v>
      </c>
      <c r="H1561">
        <f t="shared" si="48"/>
        <v>1</v>
      </c>
      <c r="I1561" s="20">
        <f t="shared" si="49"/>
        <v>45352</v>
      </c>
    </row>
    <row r="1562" spans="1:9" x14ac:dyDescent="0.2">
      <c r="A1562">
        <v>2024</v>
      </c>
      <c r="B1562">
        <v>3</v>
      </c>
      <c r="C1562" t="s">
        <v>55</v>
      </c>
      <c r="D1562" t="s">
        <v>60</v>
      </c>
      <c r="E1562" t="s">
        <v>65</v>
      </c>
      <c r="F1562" s="14">
        <v>3390815</v>
      </c>
      <c r="G1562" s="14">
        <v>2119258</v>
      </c>
      <c r="H1562">
        <f t="shared" si="48"/>
        <v>1</v>
      </c>
      <c r="I1562" s="20">
        <f t="shared" si="49"/>
        <v>45352</v>
      </c>
    </row>
    <row r="1563" spans="1:9" x14ac:dyDescent="0.2">
      <c r="A1563">
        <v>2024</v>
      </c>
      <c r="B1563">
        <v>3</v>
      </c>
      <c r="C1563" t="s">
        <v>55</v>
      </c>
      <c r="D1563" t="s">
        <v>66</v>
      </c>
      <c r="E1563" t="s">
        <v>63</v>
      </c>
      <c r="F1563" s="14">
        <v>8984440</v>
      </c>
      <c r="G1563" s="14">
        <v>5284964</v>
      </c>
      <c r="H1563">
        <f t="shared" si="48"/>
        <v>0</v>
      </c>
      <c r="I1563" s="20">
        <f t="shared" si="49"/>
        <v>45352</v>
      </c>
    </row>
    <row r="1564" spans="1:9" x14ac:dyDescent="0.2">
      <c r="A1564">
        <v>2024</v>
      </c>
      <c r="B1564">
        <v>3</v>
      </c>
      <c r="C1564" t="s">
        <v>55</v>
      </c>
      <c r="D1564" t="s">
        <v>66</v>
      </c>
      <c r="E1564" t="s">
        <v>67</v>
      </c>
      <c r="F1564" s="14">
        <v>4440326</v>
      </c>
      <c r="G1564" s="14">
        <v>2960211</v>
      </c>
      <c r="H1564">
        <f t="shared" si="48"/>
        <v>0</v>
      </c>
      <c r="I1564" s="20">
        <f t="shared" si="49"/>
        <v>45352</v>
      </c>
    </row>
    <row r="1565" spans="1:9" x14ac:dyDescent="0.2">
      <c r="A1565">
        <v>2024</v>
      </c>
      <c r="B1565">
        <v>3</v>
      </c>
      <c r="C1565" t="s">
        <v>55</v>
      </c>
      <c r="D1565" t="s">
        <v>66</v>
      </c>
      <c r="E1565" t="s">
        <v>68</v>
      </c>
      <c r="F1565" s="14">
        <v>2114115</v>
      </c>
      <c r="G1565" s="14">
        <v>2114115</v>
      </c>
      <c r="H1565">
        <f t="shared" si="48"/>
        <v>0</v>
      </c>
      <c r="I1565" s="20">
        <f t="shared" si="49"/>
        <v>45352</v>
      </c>
    </row>
    <row r="1566" spans="1:9" x14ac:dyDescent="0.2">
      <c r="A1566">
        <v>2024</v>
      </c>
      <c r="B1566">
        <v>3</v>
      </c>
      <c r="C1566" t="s">
        <v>55</v>
      </c>
      <c r="D1566" t="s">
        <v>66</v>
      </c>
      <c r="E1566" t="s">
        <v>74</v>
      </c>
      <c r="F1566" s="14">
        <v>329330</v>
      </c>
      <c r="G1566" s="14">
        <v>299391</v>
      </c>
      <c r="H1566">
        <f t="shared" si="48"/>
        <v>0</v>
      </c>
      <c r="I1566" s="20">
        <f t="shared" si="49"/>
        <v>45352</v>
      </c>
    </row>
    <row r="1567" spans="1:9" x14ac:dyDescent="0.2">
      <c r="A1567">
        <v>2024</v>
      </c>
      <c r="B1567">
        <v>3</v>
      </c>
      <c r="C1567" t="s">
        <v>55</v>
      </c>
      <c r="D1567" t="s">
        <v>66</v>
      </c>
      <c r="E1567" t="s">
        <v>69</v>
      </c>
      <c r="F1567" s="14">
        <v>264883</v>
      </c>
      <c r="G1567" s="14">
        <v>165552</v>
      </c>
      <c r="H1567">
        <f t="shared" si="48"/>
        <v>0</v>
      </c>
      <c r="I1567" s="20">
        <f t="shared" si="49"/>
        <v>45352</v>
      </c>
    </row>
    <row r="1568" spans="1:9" x14ac:dyDescent="0.2">
      <c r="A1568">
        <v>2024</v>
      </c>
      <c r="B1568">
        <v>3</v>
      </c>
      <c r="C1568" t="s">
        <v>55</v>
      </c>
      <c r="D1568" t="s">
        <v>66</v>
      </c>
      <c r="E1568" t="s">
        <v>59</v>
      </c>
      <c r="F1568" s="14">
        <v>62223</v>
      </c>
      <c r="G1568" s="14">
        <v>62223</v>
      </c>
      <c r="H1568">
        <f t="shared" si="48"/>
        <v>0</v>
      </c>
      <c r="I1568" s="20">
        <f t="shared" si="49"/>
        <v>45352</v>
      </c>
    </row>
    <row r="1569" spans="1:9" x14ac:dyDescent="0.2">
      <c r="A1569">
        <v>2024</v>
      </c>
      <c r="B1569">
        <v>3</v>
      </c>
      <c r="C1569" t="s">
        <v>55</v>
      </c>
      <c r="D1569" t="s">
        <v>66</v>
      </c>
      <c r="E1569" t="s">
        <v>75</v>
      </c>
      <c r="F1569" s="14">
        <v>37765</v>
      </c>
      <c r="G1569" s="14">
        <v>26975</v>
      </c>
      <c r="H1569">
        <f t="shared" si="48"/>
        <v>0</v>
      </c>
      <c r="I1569" s="20">
        <f t="shared" si="49"/>
        <v>45352</v>
      </c>
    </row>
    <row r="1570" spans="1:9" x14ac:dyDescent="0.2">
      <c r="A1570">
        <v>2024</v>
      </c>
      <c r="B1570">
        <v>3</v>
      </c>
      <c r="C1570" t="s">
        <v>55</v>
      </c>
      <c r="D1570" t="s">
        <v>70</v>
      </c>
      <c r="E1570" t="s">
        <v>68</v>
      </c>
      <c r="F1570" s="14">
        <v>1185441820</v>
      </c>
      <c r="G1570" s="14">
        <v>1185441820</v>
      </c>
      <c r="H1570">
        <f t="shared" si="48"/>
        <v>0</v>
      </c>
      <c r="I1570" s="20">
        <f t="shared" si="49"/>
        <v>45352</v>
      </c>
    </row>
    <row r="1571" spans="1:9" x14ac:dyDescent="0.2">
      <c r="A1571">
        <v>2024</v>
      </c>
      <c r="B1571">
        <v>3</v>
      </c>
      <c r="C1571" t="s">
        <v>55</v>
      </c>
      <c r="D1571" t="s">
        <v>70</v>
      </c>
      <c r="E1571" t="s">
        <v>61</v>
      </c>
      <c r="F1571" s="14">
        <v>1316272</v>
      </c>
      <c r="G1571" s="14">
        <v>877507</v>
      </c>
      <c r="H1571">
        <f t="shared" si="48"/>
        <v>0</v>
      </c>
      <c r="I1571" s="20">
        <f t="shared" si="49"/>
        <v>45352</v>
      </c>
    </row>
    <row r="1572" spans="1:9" x14ac:dyDescent="0.2">
      <c r="A1572">
        <v>2024</v>
      </c>
      <c r="B1572">
        <v>3</v>
      </c>
      <c r="C1572" t="s">
        <v>64</v>
      </c>
      <c r="D1572" t="s">
        <v>70</v>
      </c>
      <c r="E1572" t="s">
        <v>68</v>
      </c>
      <c r="F1572" s="14">
        <v>1134762</v>
      </c>
      <c r="G1572" s="14">
        <v>1134762</v>
      </c>
      <c r="H1572">
        <f t="shared" si="48"/>
        <v>0</v>
      </c>
      <c r="I1572" s="20">
        <f t="shared" si="49"/>
        <v>45352</v>
      </c>
    </row>
    <row r="1573" spans="1:9" x14ac:dyDescent="0.2">
      <c r="A1573">
        <v>2024</v>
      </c>
      <c r="B1573">
        <v>3</v>
      </c>
      <c r="C1573" t="s">
        <v>64</v>
      </c>
      <c r="D1573" t="s">
        <v>71</v>
      </c>
      <c r="E1573" t="s">
        <v>72</v>
      </c>
      <c r="F1573" s="14">
        <v>60193</v>
      </c>
      <c r="G1573" s="14">
        <v>60193</v>
      </c>
      <c r="H1573">
        <f t="shared" si="48"/>
        <v>0</v>
      </c>
      <c r="I1573" s="20">
        <f t="shared" si="49"/>
        <v>45352</v>
      </c>
    </row>
    <row r="1574" spans="1:9" x14ac:dyDescent="0.2">
      <c r="A1574">
        <v>2024</v>
      </c>
      <c r="B1574">
        <v>4</v>
      </c>
      <c r="C1574" t="s">
        <v>55</v>
      </c>
      <c r="D1574" t="s">
        <v>56</v>
      </c>
      <c r="E1574" t="s">
        <v>59</v>
      </c>
      <c r="F1574" s="14">
        <v>67016522</v>
      </c>
      <c r="G1574" s="14">
        <v>67016522</v>
      </c>
      <c r="H1574">
        <f t="shared" si="48"/>
        <v>0</v>
      </c>
      <c r="I1574" s="20">
        <f t="shared" si="49"/>
        <v>45383</v>
      </c>
    </row>
    <row r="1575" spans="1:9" x14ac:dyDescent="0.2">
      <c r="A1575">
        <v>2024</v>
      </c>
      <c r="B1575">
        <v>4</v>
      </c>
      <c r="C1575" t="s">
        <v>64</v>
      </c>
      <c r="D1575" t="s">
        <v>56</v>
      </c>
      <c r="E1575" t="s">
        <v>58</v>
      </c>
      <c r="F1575" s="14">
        <v>3300665</v>
      </c>
      <c r="G1575" s="14">
        <v>3300665</v>
      </c>
      <c r="H1575">
        <f t="shared" si="48"/>
        <v>0</v>
      </c>
      <c r="I1575" s="20">
        <f t="shared" si="49"/>
        <v>45383</v>
      </c>
    </row>
    <row r="1576" spans="1:9" x14ac:dyDescent="0.2">
      <c r="A1576">
        <v>2024</v>
      </c>
      <c r="B1576">
        <v>4</v>
      </c>
      <c r="C1576" t="s">
        <v>55</v>
      </c>
      <c r="D1576" t="s">
        <v>56</v>
      </c>
      <c r="E1576" t="s">
        <v>58</v>
      </c>
      <c r="F1576" s="14">
        <v>3105000</v>
      </c>
      <c r="G1576" s="14">
        <v>3105000</v>
      </c>
      <c r="H1576">
        <f t="shared" si="48"/>
        <v>0</v>
      </c>
      <c r="I1576" s="20">
        <f t="shared" si="49"/>
        <v>45383</v>
      </c>
    </row>
    <row r="1577" spans="1:9" x14ac:dyDescent="0.2">
      <c r="A1577">
        <v>2024</v>
      </c>
      <c r="B1577">
        <v>4</v>
      </c>
      <c r="C1577" t="s">
        <v>55</v>
      </c>
      <c r="D1577" t="s">
        <v>56</v>
      </c>
      <c r="E1577" t="s">
        <v>57</v>
      </c>
      <c r="F1577" s="14">
        <v>694722</v>
      </c>
      <c r="G1577" s="14">
        <v>694722</v>
      </c>
      <c r="H1577">
        <f t="shared" si="48"/>
        <v>0</v>
      </c>
      <c r="I1577" s="20">
        <f t="shared" si="49"/>
        <v>45383</v>
      </c>
    </row>
    <row r="1578" spans="1:9" x14ac:dyDescent="0.2">
      <c r="A1578">
        <v>2024</v>
      </c>
      <c r="B1578">
        <v>4</v>
      </c>
      <c r="C1578" t="s">
        <v>64</v>
      </c>
      <c r="D1578" t="s">
        <v>56</v>
      </c>
      <c r="E1578" t="s">
        <v>59</v>
      </c>
      <c r="F1578" s="14">
        <v>643933</v>
      </c>
      <c r="G1578" s="14">
        <v>643933</v>
      </c>
      <c r="H1578">
        <f t="shared" si="48"/>
        <v>0</v>
      </c>
      <c r="I1578" s="20">
        <f t="shared" si="49"/>
        <v>45383</v>
      </c>
    </row>
    <row r="1579" spans="1:9" x14ac:dyDescent="0.2">
      <c r="A1579">
        <v>2024</v>
      </c>
      <c r="B1579">
        <v>4</v>
      </c>
      <c r="C1579" t="s">
        <v>55</v>
      </c>
      <c r="D1579" t="s">
        <v>60</v>
      </c>
      <c r="E1579" t="s">
        <v>63</v>
      </c>
      <c r="F1579" s="14">
        <v>386413848</v>
      </c>
      <c r="G1579" s="14">
        <v>227302197</v>
      </c>
      <c r="H1579">
        <f t="shared" si="48"/>
        <v>0</v>
      </c>
      <c r="I1579" s="20">
        <f t="shared" si="49"/>
        <v>45383</v>
      </c>
    </row>
    <row r="1580" spans="1:9" x14ac:dyDescent="0.2">
      <c r="A1580">
        <v>2024</v>
      </c>
      <c r="B1580">
        <v>4</v>
      </c>
      <c r="C1580" t="s">
        <v>55</v>
      </c>
      <c r="D1580" t="s">
        <v>60</v>
      </c>
      <c r="E1580" t="s">
        <v>61</v>
      </c>
      <c r="F1580" s="14">
        <v>202552017</v>
      </c>
      <c r="G1580" s="14">
        <v>135032996</v>
      </c>
      <c r="H1580">
        <f t="shared" si="48"/>
        <v>0</v>
      </c>
      <c r="I1580" s="20">
        <f t="shared" si="49"/>
        <v>45383</v>
      </c>
    </row>
    <row r="1581" spans="1:9" x14ac:dyDescent="0.2">
      <c r="A1581">
        <v>2024</v>
      </c>
      <c r="B1581">
        <v>4</v>
      </c>
      <c r="C1581" t="s">
        <v>55</v>
      </c>
      <c r="D1581" t="s">
        <v>60</v>
      </c>
      <c r="E1581" t="s">
        <v>76</v>
      </c>
      <c r="F1581" s="14">
        <v>84011020</v>
      </c>
      <c r="G1581" s="14">
        <v>52506886</v>
      </c>
      <c r="H1581">
        <f t="shared" si="48"/>
        <v>0</v>
      </c>
      <c r="I1581" s="20">
        <f t="shared" si="49"/>
        <v>45383</v>
      </c>
    </row>
    <row r="1582" spans="1:9" x14ac:dyDescent="0.2">
      <c r="A1582">
        <v>2024</v>
      </c>
      <c r="B1582">
        <v>4</v>
      </c>
      <c r="C1582" t="s">
        <v>64</v>
      </c>
      <c r="D1582" t="s">
        <v>60</v>
      </c>
      <c r="E1582" t="s">
        <v>61</v>
      </c>
      <c r="F1582" s="14">
        <v>72435557</v>
      </c>
      <c r="G1582" s="14">
        <v>48290339</v>
      </c>
      <c r="H1582">
        <f t="shared" si="48"/>
        <v>0</v>
      </c>
      <c r="I1582" s="20">
        <f t="shared" si="49"/>
        <v>45383</v>
      </c>
    </row>
    <row r="1583" spans="1:9" x14ac:dyDescent="0.2">
      <c r="A1583">
        <v>2024</v>
      </c>
      <c r="B1583">
        <v>4</v>
      </c>
      <c r="C1583" t="s">
        <v>62</v>
      </c>
      <c r="D1583" t="s">
        <v>60</v>
      </c>
      <c r="E1583" t="s">
        <v>63</v>
      </c>
      <c r="F1583" s="14">
        <v>46967029</v>
      </c>
      <c r="G1583" s="14">
        <v>27627664</v>
      </c>
      <c r="H1583">
        <f t="shared" si="48"/>
        <v>0</v>
      </c>
      <c r="I1583" s="20">
        <f t="shared" si="49"/>
        <v>45383</v>
      </c>
    </row>
    <row r="1584" spans="1:9" x14ac:dyDescent="0.2">
      <c r="A1584">
        <v>2024</v>
      </c>
      <c r="B1584">
        <v>4</v>
      </c>
      <c r="C1584" t="s">
        <v>62</v>
      </c>
      <c r="D1584" t="s">
        <v>60</v>
      </c>
      <c r="E1584" t="s">
        <v>65</v>
      </c>
      <c r="F1584" s="14">
        <v>9056261</v>
      </c>
      <c r="G1584" s="14">
        <v>5660163</v>
      </c>
      <c r="H1584">
        <f t="shared" si="48"/>
        <v>1</v>
      </c>
      <c r="I1584" s="20">
        <f t="shared" si="49"/>
        <v>45383</v>
      </c>
    </row>
    <row r="1585" spans="1:9" x14ac:dyDescent="0.2">
      <c r="A1585">
        <v>2024</v>
      </c>
      <c r="B1585">
        <v>4</v>
      </c>
      <c r="C1585" t="s">
        <v>55</v>
      </c>
      <c r="D1585" t="s">
        <v>60</v>
      </c>
      <c r="E1585" t="s">
        <v>65</v>
      </c>
      <c r="F1585" s="14">
        <v>4388923</v>
      </c>
      <c r="G1585" s="14">
        <v>2743078</v>
      </c>
      <c r="H1585">
        <f t="shared" si="48"/>
        <v>1</v>
      </c>
      <c r="I1585" s="20">
        <f t="shared" si="49"/>
        <v>45383</v>
      </c>
    </row>
    <row r="1586" spans="1:9" x14ac:dyDescent="0.2">
      <c r="A1586">
        <v>2024</v>
      </c>
      <c r="B1586">
        <v>4</v>
      </c>
      <c r="C1586" t="s">
        <v>55</v>
      </c>
      <c r="D1586" t="s">
        <v>66</v>
      </c>
      <c r="E1586" t="s">
        <v>63</v>
      </c>
      <c r="F1586" s="14">
        <v>6734574</v>
      </c>
      <c r="G1586" s="14">
        <v>3961514</v>
      </c>
      <c r="H1586">
        <f t="shared" si="48"/>
        <v>0</v>
      </c>
      <c r="I1586" s="20">
        <f t="shared" si="49"/>
        <v>45383</v>
      </c>
    </row>
    <row r="1587" spans="1:9" x14ac:dyDescent="0.2">
      <c r="A1587">
        <v>2024</v>
      </c>
      <c r="B1587">
        <v>4</v>
      </c>
      <c r="C1587" t="s">
        <v>55</v>
      </c>
      <c r="D1587" t="s">
        <v>66</v>
      </c>
      <c r="E1587" t="s">
        <v>67</v>
      </c>
      <c r="F1587" s="14">
        <v>4845550</v>
      </c>
      <c r="G1587" s="14">
        <v>3230353</v>
      </c>
      <c r="H1587">
        <f t="shared" si="48"/>
        <v>0</v>
      </c>
      <c r="I1587" s="20">
        <f t="shared" si="49"/>
        <v>45383</v>
      </c>
    </row>
    <row r="1588" spans="1:9" x14ac:dyDescent="0.2">
      <c r="A1588">
        <v>2024</v>
      </c>
      <c r="B1588">
        <v>4</v>
      </c>
      <c r="C1588" t="s">
        <v>55</v>
      </c>
      <c r="D1588" t="s">
        <v>66</v>
      </c>
      <c r="E1588" t="s">
        <v>68</v>
      </c>
      <c r="F1588" s="14">
        <v>2530447</v>
      </c>
      <c r="G1588" s="14">
        <v>2530447</v>
      </c>
      <c r="H1588">
        <f t="shared" si="48"/>
        <v>0</v>
      </c>
      <c r="I1588" s="20">
        <f t="shared" si="49"/>
        <v>45383</v>
      </c>
    </row>
    <row r="1589" spans="1:9" x14ac:dyDescent="0.2">
      <c r="A1589">
        <v>2024</v>
      </c>
      <c r="B1589">
        <v>4</v>
      </c>
      <c r="C1589" t="s">
        <v>55</v>
      </c>
      <c r="D1589" t="s">
        <v>66</v>
      </c>
      <c r="E1589" t="s">
        <v>75</v>
      </c>
      <c r="F1589" s="14">
        <v>1576365</v>
      </c>
      <c r="G1589" s="14">
        <v>1125974</v>
      </c>
      <c r="H1589">
        <f t="shared" si="48"/>
        <v>0</v>
      </c>
      <c r="I1589" s="20">
        <f t="shared" si="49"/>
        <v>45383</v>
      </c>
    </row>
    <row r="1590" spans="1:9" x14ac:dyDescent="0.2">
      <c r="A1590">
        <v>2024</v>
      </c>
      <c r="B1590">
        <v>4</v>
      </c>
      <c r="C1590" t="s">
        <v>55</v>
      </c>
      <c r="D1590" t="s">
        <v>66</v>
      </c>
      <c r="E1590" t="s">
        <v>74</v>
      </c>
      <c r="F1590" s="14">
        <v>306983</v>
      </c>
      <c r="G1590" s="14">
        <v>279076</v>
      </c>
      <c r="H1590">
        <f t="shared" si="48"/>
        <v>0</v>
      </c>
      <c r="I1590" s="20">
        <f t="shared" si="49"/>
        <v>45383</v>
      </c>
    </row>
    <row r="1591" spans="1:9" x14ac:dyDescent="0.2">
      <c r="A1591">
        <v>2024</v>
      </c>
      <c r="B1591">
        <v>4</v>
      </c>
      <c r="C1591" t="s">
        <v>55</v>
      </c>
      <c r="D1591" t="s">
        <v>66</v>
      </c>
      <c r="E1591" t="s">
        <v>69</v>
      </c>
      <c r="F1591" s="14">
        <v>225915</v>
      </c>
      <c r="G1591" s="14">
        <v>141198</v>
      </c>
      <c r="H1591">
        <f t="shared" si="48"/>
        <v>0</v>
      </c>
      <c r="I1591" s="20">
        <f t="shared" si="49"/>
        <v>45383</v>
      </c>
    </row>
    <row r="1592" spans="1:9" x14ac:dyDescent="0.2">
      <c r="A1592">
        <v>2024</v>
      </c>
      <c r="B1592">
        <v>4</v>
      </c>
      <c r="C1592" t="s">
        <v>55</v>
      </c>
      <c r="D1592" t="s">
        <v>66</v>
      </c>
      <c r="E1592" t="s">
        <v>59</v>
      </c>
      <c r="F1592" s="14">
        <v>73154</v>
      </c>
      <c r="G1592" s="14">
        <v>73154</v>
      </c>
      <c r="H1592">
        <f t="shared" si="48"/>
        <v>0</v>
      </c>
      <c r="I1592" s="20">
        <f t="shared" si="49"/>
        <v>45383</v>
      </c>
    </row>
    <row r="1593" spans="1:9" x14ac:dyDescent="0.2">
      <c r="A1593">
        <v>2024</v>
      </c>
      <c r="B1593">
        <v>4</v>
      </c>
      <c r="C1593" t="s">
        <v>55</v>
      </c>
      <c r="D1593" t="s">
        <v>70</v>
      </c>
      <c r="E1593" t="s">
        <v>68</v>
      </c>
      <c r="F1593" s="14">
        <v>1185471764</v>
      </c>
      <c r="G1593" s="14">
        <v>1185471764</v>
      </c>
      <c r="H1593">
        <f t="shared" si="48"/>
        <v>0</v>
      </c>
      <c r="I1593" s="20">
        <f t="shared" si="49"/>
        <v>45383</v>
      </c>
    </row>
    <row r="1594" spans="1:9" x14ac:dyDescent="0.2">
      <c r="A1594">
        <v>2024</v>
      </c>
      <c r="B1594">
        <v>4</v>
      </c>
      <c r="C1594" t="s">
        <v>64</v>
      </c>
      <c r="D1594" t="s">
        <v>70</v>
      </c>
      <c r="E1594" t="s">
        <v>61</v>
      </c>
      <c r="F1594" s="14">
        <v>3640301</v>
      </c>
      <c r="G1594" s="14">
        <v>2426867</v>
      </c>
      <c r="H1594">
        <f t="shared" si="48"/>
        <v>0</v>
      </c>
      <c r="I1594" s="20">
        <f t="shared" si="49"/>
        <v>45383</v>
      </c>
    </row>
    <row r="1595" spans="1:9" x14ac:dyDescent="0.2">
      <c r="A1595">
        <v>2024</v>
      </c>
      <c r="B1595">
        <v>4</v>
      </c>
      <c r="C1595" t="s">
        <v>55</v>
      </c>
      <c r="D1595" t="s">
        <v>70</v>
      </c>
      <c r="E1595" t="s">
        <v>78</v>
      </c>
      <c r="F1595" s="14">
        <v>3629666</v>
      </c>
      <c r="G1595" s="14">
        <v>2419776</v>
      </c>
      <c r="H1595">
        <f t="shared" si="48"/>
        <v>0</v>
      </c>
      <c r="I1595" s="20">
        <f t="shared" si="49"/>
        <v>45383</v>
      </c>
    </row>
    <row r="1596" spans="1:9" x14ac:dyDescent="0.2">
      <c r="A1596">
        <v>2024</v>
      </c>
      <c r="B1596">
        <v>4</v>
      </c>
      <c r="C1596" t="s">
        <v>55</v>
      </c>
      <c r="D1596" t="s">
        <v>70</v>
      </c>
      <c r="E1596" t="s">
        <v>61</v>
      </c>
      <c r="F1596" s="14">
        <v>1502690</v>
      </c>
      <c r="G1596" s="14">
        <v>1001787</v>
      </c>
      <c r="H1596">
        <f t="shared" si="48"/>
        <v>0</v>
      </c>
      <c r="I1596" s="20">
        <f t="shared" si="49"/>
        <v>45383</v>
      </c>
    </row>
    <row r="1597" spans="1:9" x14ac:dyDescent="0.2">
      <c r="A1597">
        <v>2024</v>
      </c>
      <c r="B1597">
        <v>4</v>
      </c>
      <c r="C1597" t="s">
        <v>64</v>
      </c>
      <c r="D1597" t="s">
        <v>70</v>
      </c>
      <c r="E1597" t="s">
        <v>68</v>
      </c>
      <c r="F1597" s="14">
        <v>1117757</v>
      </c>
      <c r="G1597" s="14">
        <v>1117757</v>
      </c>
      <c r="H1597">
        <f t="shared" si="48"/>
        <v>0</v>
      </c>
      <c r="I1597" s="20">
        <f t="shared" si="49"/>
        <v>45383</v>
      </c>
    </row>
    <row r="1598" spans="1:9" x14ac:dyDescent="0.2">
      <c r="A1598">
        <v>2024</v>
      </c>
      <c r="B1598">
        <v>4</v>
      </c>
      <c r="C1598" t="s">
        <v>55</v>
      </c>
      <c r="D1598" t="s">
        <v>70</v>
      </c>
      <c r="E1598" t="s">
        <v>63</v>
      </c>
      <c r="F1598" s="14">
        <v>250191</v>
      </c>
      <c r="G1598" s="14">
        <v>147171</v>
      </c>
      <c r="H1598">
        <f t="shared" si="48"/>
        <v>0</v>
      </c>
      <c r="I1598" s="20">
        <f t="shared" si="49"/>
        <v>45383</v>
      </c>
    </row>
    <row r="1599" spans="1:9" x14ac:dyDescent="0.2">
      <c r="A1599">
        <v>2024</v>
      </c>
      <c r="B1599">
        <v>4</v>
      </c>
      <c r="C1599" t="s">
        <v>55</v>
      </c>
      <c r="D1599" t="s">
        <v>70</v>
      </c>
      <c r="E1599" t="s">
        <v>79</v>
      </c>
      <c r="F1599" s="14">
        <v>64809</v>
      </c>
      <c r="G1599" s="14">
        <v>38123</v>
      </c>
      <c r="H1599">
        <f t="shared" si="48"/>
        <v>1</v>
      </c>
      <c r="I1599" s="20">
        <f t="shared" si="49"/>
        <v>45383</v>
      </c>
    </row>
    <row r="1600" spans="1:9" x14ac:dyDescent="0.2">
      <c r="A1600">
        <v>2024</v>
      </c>
      <c r="B1600">
        <v>4</v>
      </c>
      <c r="C1600" t="s">
        <v>64</v>
      </c>
      <c r="D1600" t="s">
        <v>71</v>
      </c>
      <c r="E1600" t="s">
        <v>72</v>
      </c>
      <c r="F1600" s="14">
        <v>47750</v>
      </c>
      <c r="G1600" s="14">
        <v>47750</v>
      </c>
      <c r="H1600">
        <f t="shared" si="48"/>
        <v>0</v>
      </c>
      <c r="I1600" s="20">
        <f t="shared" si="49"/>
        <v>45383</v>
      </c>
    </row>
    <row r="1601" spans="1:9" x14ac:dyDescent="0.2">
      <c r="A1601">
        <v>2024</v>
      </c>
      <c r="B1601">
        <v>5</v>
      </c>
      <c r="C1601" t="s">
        <v>55</v>
      </c>
      <c r="D1601" t="s">
        <v>56</v>
      </c>
      <c r="E1601" t="s">
        <v>59</v>
      </c>
      <c r="F1601" s="14">
        <v>67737546</v>
      </c>
      <c r="G1601" s="14">
        <v>67737546</v>
      </c>
      <c r="H1601">
        <f t="shared" si="48"/>
        <v>0</v>
      </c>
      <c r="I1601" s="20">
        <f t="shared" si="49"/>
        <v>45413</v>
      </c>
    </row>
    <row r="1602" spans="1:9" x14ac:dyDescent="0.2">
      <c r="A1602">
        <v>2024</v>
      </c>
      <c r="B1602">
        <v>5</v>
      </c>
      <c r="C1602" t="s">
        <v>64</v>
      </c>
      <c r="D1602" t="s">
        <v>56</v>
      </c>
      <c r="E1602" t="s">
        <v>58</v>
      </c>
      <c r="F1602" s="14">
        <v>3351714</v>
      </c>
      <c r="G1602" s="14">
        <v>3351714</v>
      </c>
      <c r="H1602">
        <f t="shared" si="48"/>
        <v>0</v>
      </c>
      <c r="I1602" s="20">
        <f t="shared" si="49"/>
        <v>45413</v>
      </c>
    </row>
    <row r="1603" spans="1:9" x14ac:dyDescent="0.2">
      <c r="A1603">
        <v>2024</v>
      </c>
      <c r="B1603">
        <v>5</v>
      </c>
      <c r="C1603" t="s">
        <v>55</v>
      </c>
      <c r="D1603" t="s">
        <v>56</v>
      </c>
      <c r="E1603" t="s">
        <v>58</v>
      </c>
      <c r="F1603" s="14">
        <v>3224507</v>
      </c>
      <c r="G1603" s="14">
        <v>3224507</v>
      </c>
      <c r="H1603">
        <f t="shared" ref="H1603:H1666" si="50">--ISNUMBER(SEARCH("Jet Fuel",E1603))</f>
        <v>0</v>
      </c>
      <c r="I1603" s="20">
        <f t="shared" ref="I1603:I1666" si="51">DATE(A1603,B1603,1)</f>
        <v>45413</v>
      </c>
    </row>
    <row r="1604" spans="1:9" x14ac:dyDescent="0.2">
      <c r="A1604">
        <v>2024</v>
      </c>
      <c r="B1604">
        <v>5</v>
      </c>
      <c r="C1604" t="s">
        <v>55</v>
      </c>
      <c r="D1604" t="s">
        <v>56</v>
      </c>
      <c r="E1604" t="s">
        <v>57</v>
      </c>
      <c r="F1604" s="14">
        <v>2518681</v>
      </c>
      <c r="G1604" s="14">
        <v>2518681</v>
      </c>
      <c r="H1604">
        <f t="shared" si="50"/>
        <v>0</v>
      </c>
      <c r="I1604" s="20">
        <f t="shared" si="51"/>
        <v>45413</v>
      </c>
    </row>
    <row r="1605" spans="1:9" x14ac:dyDescent="0.2">
      <c r="A1605">
        <v>2024</v>
      </c>
      <c r="B1605">
        <v>5</v>
      </c>
      <c r="C1605" t="s">
        <v>64</v>
      </c>
      <c r="D1605" t="s">
        <v>56</v>
      </c>
      <c r="E1605" t="s">
        <v>59</v>
      </c>
      <c r="F1605" s="14">
        <v>343269</v>
      </c>
      <c r="G1605" s="14">
        <v>343269</v>
      </c>
      <c r="H1605">
        <f t="shared" si="50"/>
        <v>0</v>
      </c>
      <c r="I1605" s="20">
        <f t="shared" si="51"/>
        <v>45413</v>
      </c>
    </row>
    <row r="1606" spans="1:9" x14ac:dyDescent="0.2">
      <c r="A1606">
        <v>2024</v>
      </c>
      <c r="B1606">
        <v>5</v>
      </c>
      <c r="C1606" t="s">
        <v>55</v>
      </c>
      <c r="D1606" t="s">
        <v>60</v>
      </c>
      <c r="E1606" t="s">
        <v>63</v>
      </c>
      <c r="F1606" s="14">
        <v>369366056</v>
      </c>
      <c r="G1606" s="14">
        <v>217274078</v>
      </c>
      <c r="H1606">
        <f t="shared" si="50"/>
        <v>0</v>
      </c>
      <c r="I1606" s="20">
        <f t="shared" si="51"/>
        <v>45413</v>
      </c>
    </row>
    <row r="1607" spans="1:9" x14ac:dyDescent="0.2">
      <c r="A1607">
        <v>2024</v>
      </c>
      <c r="B1607">
        <v>5</v>
      </c>
      <c r="C1607" t="s">
        <v>55</v>
      </c>
      <c r="D1607" t="s">
        <v>60</v>
      </c>
      <c r="E1607" t="s">
        <v>61</v>
      </c>
      <c r="F1607" s="14">
        <v>213125771</v>
      </c>
      <c r="G1607" s="14">
        <v>142081952</v>
      </c>
      <c r="H1607">
        <f t="shared" si="50"/>
        <v>0</v>
      </c>
      <c r="I1607" s="20">
        <f t="shared" si="51"/>
        <v>45413</v>
      </c>
    </row>
    <row r="1608" spans="1:9" x14ac:dyDescent="0.2">
      <c r="A1608">
        <v>2024</v>
      </c>
      <c r="B1608">
        <v>5</v>
      </c>
      <c r="C1608" t="s">
        <v>64</v>
      </c>
      <c r="D1608" t="s">
        <v>60</v>
      </c>
      <c r="E1608" t="s">
        <v>61</v>
      </c>
      <c r="F1608" s="14">
        <v>53212825</v>
      </c>
      <c r="G1608" s="14">
        <v>35475188</v>
      </c>
      <c r="H1608">
        <f t="shared" si="50"/>
        <v>0</v>
      </c>
      <c r="I1608" s="20">
        <f t="shared" si="51"/>
        <v>45413</v>
      </c>
    </row>
    <row r="1609" spans="1:9" x14ac:dyDescent="0.2">
      <c r="A1609">
        <v>2024</v>
      </c>
      <c r="B1609">
        <v>5</v>
      </c>
      <c r="C1609" t="s">
        <v>62</v>
      </c>
      <c r="D1609" t="s">
        <v>60</v>
      </c>
      <c r="E1609" t="s">
        <v>63</v>
      </c>
      <c r="F1609" s="14">
        <v>50457214</v>
      </c>
      <c r="G1609" s="14">
        <v>29680714</v>
      </c>
      <c r="H1609">
        <f t="shared" si="50"/>
        <v>0</v>
      </c>
      <c r="I1609" s="20">
        <f t="shared" si="51"/>
        <v>45413</v>
      </c>
    </row>
    <row r="1610" spans="1:9" x14ac:dyDescent="0.2">
      <c r="A1610">
        <v>2024</v>
      </c>
      <c r="B1610">
        <v>5</v>
      </c>
      <c r="C1610" t="s">
        <v>62</v>
      </c>
      <c r="D1610" t="s">
        <v>60</v>
      </c>
      <c r="E1610" t="s">
        <v>65</v>
      </c>
      <c r="F1610" s="14">
        <v>23662851</v>
      </c>
      <c r="G1610" s="14">
        <v>14789282</v>
      </c>
      <c r="H1610">
        <f t="shared" si="50"/>
        <v>1</v>
      </c>
      <c r="I1610" s="20">
        <f t="shared" si="51"/>
        <v>45413</v>
      </c>
    </row>
    <row r="1611" spans="1:9" x14ac:dyDescent="0.2">
      <c r="A1611">
        <v>2024</v>
      </c>
      <c r="B1611">
        <v>5</v>
      </c>
      <c r="C1611" t="s">
        <v>55</v>
      </c>
      <c r="D1611" t="s">
        <v>60</v>
      </c>
      <c r="E1611" t="s">
        <v>65</v>
      </c>
      <c r="F1611" s="14">
        <v>5225945</v>
      </c>
      <c r="G1611" s="14">
        <v>3266216</v>
      </c>
      <c r="H1611">
        <f t="shared" si="50"/>
        <v>1</v>
      </c>
      <c r="I1611" s="20">
        <f t="shared" si="51"/>
        <v>45413</v>
      </c>
    </row>
    <row r="1612" spans="1:9" x14ac:dyDescent="0.2">
      <c r="A1612">
        <v>2024</v>
      </c>
      <c r="B1612">
        <v>5</v>
      </c>
      <c r="C1612" t="s">
        <v>55</v>
      </c>
      <c r="D1612" t="s">
        <v>60</v>
      </c>
      <c r="E1612" t="s">
        <v>76</v>
      </c>
      <c r="F1612" s="14">
        <v>3216527</v>
      </c>
      <c r="G1612" s="14">
        <v>2010329</v>
      </c>
      <c r="H1612">
        <f t="shared" si="50"/>
        <v>0</v>
      </c>
      <c r="I1612" s="20">
        <f t="shared" si="51"/>
        <v>45413</v>
      </c>
    </row>
    <row r="1613" spans="1:9" x14ac:dyDescent="0.2">
      <c r="A1613">
        <v>2024</v>
      </c>
      <c r="B1613">
        <v>5</v>
      </c>
      <c r="C1613" t="s">
        <v>55</v>
      </c>
      <c r="D1613" t="s">
        <v>66</v>
      </c>
      <c r="E1613" t="s">
        <v>67</v>
      </c>
      <c r="F1613" s="14">
        <v>4649770</v>
      </c>
      <c r="G1613" s="14">
        <v>3099826</v>
      </c>
      <c r="H1613">
        <f t="shared" si="50"/>
        <v>0</v>
      </c>
      <c r="I1613" s="20">
        <f t="shared" si="51"/>
        <v>45413</v>
      </c>
    </row>
    <row r="1614" spans="1:9" x14ac:dyDescent="0.2">
      <c r="A1614">
        <v>2024</v>
      </c>
      <c r="B1614">
        <v>5</v>
      </c>
      <c r="C1614" t="s">
        <v>55</v>
      </c>
      <c r="D1614" t="s">
        <v>66</v>
      </c>
      <c r="E1614" t="s">
        <v>68</v>
      </c>
      <c r="F1614" s="14">
        <v>2537729</v>
      </c>
      <c r="G1614" s="14">
        <v>2537729</v>
      </c>
      <c r="H1614">
        <f t="shared" si="50"/>
        <v>0</v>
      </c>
      <c r="I1614" s="20">
        <f t="shared" si="51"/>
        <v>45413</v>
      </c>
    </row>
    <row r="1615" spans="1:9" x14ac:dyDescent="0.2">
      <c r="A1615">
        <v>2024</v>
      </c>
      <c r="B1615">
        <v>5</v>
      </c>
      <c r="C1615" t="s">
        <v>55</v>
      </c>
      <c r="D1615" t="s">
        <v>66</v>
      </c>
      <c r="E1615" t="s">
        <v>63</v>
      </c>
      <c r="F1615" s="14">
        <v>2427093</v>
      </c>
      <c r="G1615" s="14">
        <v>1427701</v>
      </c>
      <c r="H1615">
        <f t="shared" si="50"/>
        <v>0</v>
      </c>
      <c r="I1615" s="20">
        <f t="shared" si="51"/>
        <v>45413</v>
      </c>
    </row>
    <row r="1616" spans="1:9" x14ac:dyDescent="0.2">
      <c r="A1616">
        <v>2024</v>
      </c>
      <c r="B1616">
        <v>5</v>
      </c>
      <c r="C1616" t="s">
        <v>55</v>
      </c>
      <c r="D1616" t="s">
        <v>66</v>
      </c>
      <c r="E1616" t="s">
        <v>75</v>
      </c>
      <c r="F1616" s="14">
        <v>177790</v>
      </c>
      <c r="G1616" s="14">
        <v>126993</v>
      </c>
      <c r="H1616">
        <f t="shared" si="50"/>
        <v>0</v>
      </c>
      <c r="I1616" s="20">
        <f t="shared" si="51"/>
        <v>45413</v>
      </c>
    </row>
    <row r="1617" spans="1:9" x14ac:dyDescent="0.2">
      <c r="A1617">
        <v>2024</v>
      </c>
      <c r="B1617">
        <v>5</v>
      </c>
      <c r="C1617" t="s">
        <v>55</v>
      </c>
      <c r="D1617" t="s">
        <v>66</v>
      </c>
      <c r="E1617" t="s">
        <v>59</v>
      </c>
      <c r="F1617" s="14">
        <v>66438</v>
      </c>
      <c r="G1617" s="14">
        <v>66438</v>
      </c>
      <c r="H1617">
        <f t="shared" si="50"/>
        <v>0</v>
      </c>
      <c r="I1617" s="20">
        <f t="shared" si="51"/>
        <v>45413</v>
      </c>
    </row>
    <row r="1618" spans="1:9" x14ac:dyDescent="0.2">
      <c r="A1618">
        <v>2024</v>
      </c>
      <c r="B1618">
        <v>5</v>
      </c>
      <c r="C1618" t="s">
        <v>55</v>
      </c>
      <c r="D1618" t="s">
        <v>66</v>
      </c>
      <c r="E1618" t="s">
        <v>74</v>
      </c>
      <c r="F1618" s="14">
        <v>32589</v>
      </c>
      <c r="G1618" s="14">
        <v>29626</v>
      </c>
      <c r="H1618">
        <f t="shared" si="50"/>
        <v>0</v>
      </c>
      <c r="I1618" s="20">
        <f t="shared" si="51"/>
        <v>45413</v>
      </c>
    </row>
    <row r="1619" spans="1:9" x14ac:dyDescent="0.2">
      <c r="A1619">
        <v>2024</v>
      </c>
      <c r="B1619">
        <v>5</v>
      </c>
      <c r="C1619" t="s">
        <v>55</v>
      </c>
      <c r="D1619" t="s">
        <v>70</v>
      </c>
      <c r="E1619" t="s">
        <v>68</v>
      </c>
      <c r="F1619" s="14">
        <v>1263464148</v>
      </c>
      <c r="G1619" s="14">
        <v>1263464148</v>
      </c>
      <c r="H1619">
        <f t="shared" si="50"/>
        <v>0</v>
      </c>
      <c r="I1619" s="20">
        <f t="shared" si="51"/>
        <v>45413</v>
      </c>
    </row>
    <row r="1620" spans="1:9" x14ac:dyDescent="0.2">
      <c r="A1620">
        <v>2024</v>
      </c>
      <c r="B1620">
        <v>5</v>
      </c>
      <c r="C1620" t="s">
        <v>55</v>
      </c>
      <c r="D1620" t="s">
        <v>70</v>
      </c>
      <c r="E1620" t="s">
        <v>61</v>
      </c>
      <c r="F1620" s="14">
        <v>2104533</v>
      </c>
      <c r="G1620" s="14">
        <v>1403015</v>
      </c>
      <c r="H1620">
        <f t="shared" si="50"/>
        <v>0</v>
      </c>
      <c r="I1620" s="20">
        <f t="shared" si="51"/>
        <v>45413</v>
      </c>
    </row>
    <row r="1621" spans="1:9" x14ac:dyDescent="0.2">
      <c r="A1621">
        <v>2024</v>
      </c>
      <c r="B1621">
        <v>5</v>
      </c>
      <c r="C1621" t="s">
        <v>64</v>
      </c>
      <c r="D1621" t="s">
        <v>70</v>
      </c>
      <c r="E1621" t="s">
        <v>68</v>
      </c>
      <c r="F1621" s="14">
        <v>1287081</v>
      </c>
      <c r="G1621" s="14">
        <v>1287081</v>
      </c>
      <c r="H1621">
        <f t="shared" si="50"/>
        <v>0</v>
      </c>
      <c r="I1621" s="20">
        <f t="shared" si="51"/>
        <v>45413</v>
      </c>
    </row>
    <row r="1622" spans="1:9" x14ac:dyDescent="0.2">
      <c r="A1622">
        <v>2024</v>
      </c>
      <c r="B1622">
        <v>5</v>
      </c>
      <c r="C1622" t="s">
        <v>55</v>
      </c>
      <c r="D1622" t="s">
        <v>70</v>
      </c>
      <c r="E1622" t="s">
        <v>78</v>
      </c>
      <c r="F1622" s="14">
        <v>300768</v>
      </c>
      <c r="G1622" s="14">
        <v>200512</v>
      </c>
      <c r="H1622">
        <f t="shared" si="50"/>
        <v>0</v>
      </c>
      <c r="I1622" s="20">
        <f t="shared" si="51"/>
        <v>45413</v>
      </c>
    </row>
    <row r="1623" spans="1:9" x14ac:dyDescent="0.2">
      <c r="A1623">
        <v>2024</v>
      </c>
      <c r="B1623">
        <v>6</v>
      </c>
      <c r="C1623" t="s">
        <v>55</v>
      </c>
      <c r="D1623" t="s">
        <v>56</v>
      </c>
      <c r="E1623" t="s">
        <v>59</v>
      </c>
      <c r="F1623" s="14">
        <v>73897490</v>
      </c>
      <c r="G1623" s="14">
        <v>73897490</v>
      </c>
      <c r="H1623">
        <f t="shared" si="50"/>
        <v>0</v>
      </c>
      <c r="I1623" s="20">
        <f t="shared" si="51"/>
        <v>45444</v>
      </c>
    </row>
    <row r="1624" spans="1:9" x14ac:dyDescent="0.2">
      <c r="A1624">
        <v>2024</v>
      </c>
      <c r="B1624">
        <v>6</v>
      </c>
      <c r="C1624" t="s">
        <v>64</v>
      </c>
      <c r="D1624" t="s">
        <v>56</v>
      </c>
      <c r="E1624" t="s">
        <v>58</v>
      </c>
      <c r="F1624" s="14">
        <v>3453823</v>
      </c>
      <c r="G1624" s="14">
        <v>3453823</v>
      </c>
      <c r="H1624">
        <f t="shared" si="50"/>
        <v>0</v>
      </c>
      <c r="I1624" s="20">
        <f t="shared" si="51"/>
        <v>45444</v>
      </c>
    </row>
    <row r="1625" spans="1:9" x14ac:dyDescent="0.2">
      <c r="A1625">
        <v>2024</v>
      </c>
      <c r="B1625">
        <v>6</v>
      </c>
      <c r="C1625" t="s">
        <v>55</v>
      </c>
      <c r="D1625" t="s">
        <v>56</v>
      </c>
      <c r="E1625" t="s">
        <v>58</v>
      </c>
      <c r="F1625" s="14">
        <v>3256205</v>
      </c>
      <c r="G1625" s="14">
        <v>3256205</v>
      </c>
      <c r="H1625">
        <f t="shared" si="50"/>
        <v>0</v>
      </c>
      <c r="I1625" s="20">
        <f t="shared" si="51"/>
        <v>45444</v>
      </c>
    </row>
    <row r="1626" spans="1:9" x14ac:dyDescent="0.2">
      <c r="A1626">
        <v>2024</v>
      </c>
      <c r="B1626">
        <v>6</v>
      </c>
      <c r="C1626" t="s">
        <v>55</v>
      </c>
      <c r="D1626" t="s">
        <v>56</v>
      </c>
      <c r="E1626" t="s">
        <v>57</v>
      </c>
      <c r="F1626" s="14">
        <v>1476953</v>
      </c>
      <c r="G1626" s="14">
        <v>1476953</v>
      </c>
      <c r="H1626">
        <f t="shared" si="50"/>
        <v>0</v>
      </c>
      <c r="I1626" s="20">
        <f t="shared" si="51"/>
        <v>45444</v>
      </c>
    </row>
    <row r="1627" spans="1:9" x14ac:dyDescent="0.2">
      <c r="A1627">
        <v>2024</v>
      </c>
      <c r="B1627">
        <v>6</v>
      </c>
      <c r="C1627" t="s">
        <v>64</v>
      </c>
      <c r="D1627" t="s">
        <v>56</v>
      </c>
      <c r="E1627" t="s">
        <v>59</v>
      </c>
      <c r="F1627" s="14">
        <v>264239</v>
      </c>
      <c r="G1627" s="14">
        <v>264239</v>
      </c>
      <c r="H1627">
        <f t="shared" si="50"/>
        <v>0</v>
      </c>
      <c r="I1627" s="20">
        <f t="shared" si="51"/>
        <v>45444</v>
      </c>
    </row>
    <row r="1628" spans="1:9" x14ac:dyDescent="0.2">
      <c r="A1628">
        <v>2024</v>
      </c>
      <c r="B1628">
        <v>6</v>
      </c>
      <c r="C1628" t="s">
        <v>55</v>
      </c>
      <c r="D1628" t="s">
        <v>60</v>
      </c>
      <c r="E1628" t="s">
        <v>63</v>
      </c>
      <c r="F1628" s="14">
        <v>395861400</v>
      </c>
      <c r="G1628" s="14">
        <v>232859570</v>
      </c>
      <c r="H1628">
        <f t="shared" si="50"/>
        <v>0</v>
      </c>
      <c r="I1628" s="20">
        <f t="shared" si="51"/>
        <v>45444</v>
      </c>
    </row>
    <row r="1629" spans="1:9" x14ac:dyDescent="0.2">
      <c r="A1629">
        <v>2024</v>
      </c>
      <c r="B1629">
        <v>6</v>
      </c>
      <c r="C1629" t="s">
        <v>55</v>
      </c>
      <c r="D1629" t="s">
        <v>60</v>
      </c>
      <c r="E1629" t="s">
        <v>61</v>
      </c>
      <c r="F1629" s="14">
        <v>199398290</v>
      </c>
      <c r="G1629" s="14">
        <v>132930397</v>
      </c>
      <c r="H1629">
        <f t="shared" si="50"/>
        <v>0</v>
      </c>
      <c r="I1629" s="20">
        <f t="shared" si="51"/>
        <v>45444</v>
      </c>
    </row>
    <row r="1630" spans="1:9" x14ac:dyDescent="0.2">
      <c r="A1630">
        <v>2024</v>
      </c>
      <c r="B1630">
        <v>6</v>
      </c>
      <c r="C1630" t="s">
        <v>62</v>
      </c>
      <c r="D1630" t="s">
        <v>60</v>
      </c>
      <c r="E1630" t="s">
        <v>63</v>
      </c>
      <c r="F1630" s="14">
        <v>96000988</v>
      </c>
      <c r="G1630" s="14">
        <v>56471169</v>
      </c>
      <c r="H1630">
        <f t="shared" si="50"/>
        <v>0</v>
      </c>
      <c r="I1630" s="20">
        <f t="shared" si="51"/>
        <v>45444</v>
      </c>
    </row>
    <row r="1631" spans="1:9" x14ac:dyDescent="0.2">
      <c r="A1631">
        <v>2024</v>
      </c>
      <c r="B1631">
        <v>6</v>
      </c>
      <c r="C1631" t="s">
        <v>55</v>
      </c>
      <c r="D1631" t="s">
        <v>60</v>
      </c>
      <c r="E1631" t="s">
        <v>76</v>
      </c>
      <c r="F1631" s="14">
        <v>70307939</v>
      </c>
      <c r="G1631" s="14">
        <v>43942462</v>
      </c>
      <c r="H1631">
        <f t="shared" si="50"/>
        <v>0</v>
      </c>
      <c r="I1631" s="20">
        <f t="shared" si="51"/>
        <v>45444</v>
      </c>
    </row>
    <row r="1632" spans="1:9" x14ac:dyDescent="0.2">
      <c r="A1632">
        <v>2024</v>
      </c>
      <c r="B1632">
        <v>6</v>
      </c>
      <c r="C1632" t="s">
        <v>64</v>
      </c>
      <c r="D1632" t="s">
        <v>60</v>
      </c>
      <c r="E1632" t="s">
        <v>61</v>
      </c>
      <c r="F1632" s="14">
        <v>56277113</v>
      </c>
      <c r="G1632" s="14">
        <v>37518047</v>
      </c>
      <c r="H1632">
        <f t="shared" si="50"/>
        <v>0</v>
      </c>
      <c r="I1632" s="20">
        <f t="shared" si="51"/>
        <v>45444</v>
      </c>
    </row>
    <row r="1633" spans="1:9" x14ac:dyDescent="0.2">
      <c r="A1633">
        <v>2024</v>
      </c>
      <c r="B1633">
        <v>6</v>
      </c>
      <c r="C1633" t="s">
        <v>62</v>
      </c>
      <c r="D1633" t="s">
        <v>60</v>
      </c>
      <c r="E1633" t="s">
        <v>65</v>
      </c>
      <c r="F1633" s="14">
        <v>5233043</v>
      </c>
      <c r="G1633" s="14">
        <v>3270652</v>
      </c>
      <c r="H1633">
        <f t="shared" si="50"/>
        <v>1</v>
      </c>
      <c r="I1633" s="20">
        <f t="shared" si="51"/>
        <v>45444</v>
      </c>
    </row>
    <row r="1634" spans="1:9" x14ac:dyDescent="0.2">
      <c r="A1634">
        <v>2024</v>
      </c>
      <c r="B1634">
        <v>6</v>
      </c>
      <c r="C1634" t="s">
        <v>55</v>
      </c>
      <c r="D1634" t="s">
        <v>60</v>
      </c>
      <c r="E1634" t="s">
        <v>65</v>
      </c>
      <c r="F1634" s="14">
        <v>4797776</v>
      </c>
      <c r="G1634" s="14">
        <v>2998612</v>
      </c>
      <c r="H1634">
        <f t="shared" si="50"/>
        <v>1</v>
      </c>
      <c r="I1634" s="20">
        <f t="shared" si="51"/>
        <v>45444</v>
      </c>
    </row>
    <row r="1635" spans="1:9" x14ac:dyDescent="0.2">
      <c r="A1635">
        <v>2024</v>
      </c>
      <c r="B1635">
        <v>6</v>
      </c>
      <c r="C1635" t="s">
        <v>55</v>
      </c>
      <c r="D1635" t="s">
        <v>66</v>
      </c>
      <c r="E1635" t="s">
        <v>63</v>
      </c>
      <c r="F1635" s="14">
        <v>10522701</v>
      </c>
      <c r="G1635" s="14">
        <v>6189823</v>
      </c>
      <c r="H1635">
        <f t="shared" si="50"/>
        <v>0</v>
      </c>
      <c r="I1635" s="20">
        <f t="shared" si="51"/>
        <v>45444</v>
      </c>
    </row>
    <row r="1636" spans="1:9" x14ac:dyDescent="0.2">
      <c r="A1636">
        <v>2024</v>
      </c>
      <c r="B1636">
        <v>6</v>
      </c>
      <c r="C1636" t="s">
        <v>55</v>
      </c>
      <c r="D1636" t="s">
        <v>66</v>
      </c>
      <c r="E1636" t="s">
        <v>67</v>
      </c>
      <c r="F1636" s="14">
        <v>4104065</v>
      </c>
      <c r="G1636" s="14">
        <v>2736029</v>
      </c>
      <c r="H1636">
        <f t="shared" si="50"/>
        <v>0</v>
      </c>
      <c r="I1636" s="20">
        <f t="shared" si="51"/>
        <v>45444</v>
      </c>
    </row>
    <row r="1637" spans="1:9" x14ac:dyDescent="0.2">
      <c r="A1637">
        <v>2024</v>
      </c>
      <c r="B1637">
        <v>6</v>
      </c>
      <c r="C1637" t="s">
        <v>55</v>
      </c>
      <c r="D1637" t="s">
        <v>66</v>
      </c>
      <c r="E1637" t="s">
        <v>68</v>
      </c>
      <c r="F1637" s="14">
        <v>2214046</v>
      </c>
      <c r="G1637" s="14">
        <v>2214046</v>
      </c>
      <c r="H1637">
        <f t="shared" si="50"/>
        <v>0</v>
      </c>
      <c r="I1637" s="20">
        <f t="shared" si="51"/>
        <v>45444</v>
      </c>
    </row>
    <row r="1638" spans="1:9" x14ac:dyDescent="0.2">
      <c r="A1638">
        <v>2024</v>
      </c>
      <c r="B1638">
        <v>6</v>
      </c>
      <c r="C1638" t="s">
        <v>55</v>
      </c>
      <c r="D1638" t="s">
        <v>66</v>
      </c>
      <c r="E1638" t="s">
        <v>75</v>
      </c>
      <c r="F1638" s="14">
        <v>1982329</v>
      </c>
      <c r="G1638" s="14">
        <v>1415949</v>
      </c>
      <c r="H1638">
        <f t="shared" si="50"/>
        <v>0</v>
      </c>
      <c r="I1638" s="20">
        <f t="shared" si="51"/>
        <v>45444</v>
      </c>
    </row>
    <row r="1639" spans="1:9" x14ac:dyDescent="0.2">
      <c r="A1639">
        <v>2024</v>
      </c>
      <c r="B1639">
        <v>6</v>
      </c>
      <c r="C1639" t="s">
        <v>55</v>
      </c>
      <c r="D1639" t="s">
        <v>66</v>
      </c>
      <c r="E1639" t="s">
        <v>69</v>
      </c>
      <c r="F1639" s="14">
        <v>623806</v>
      </c>
      <c r="G1639" s="14">
        <v>389879</v>
      </c>
      <c r="H1639">
        <f t="shared" si="50"/>
        <v>0</v>
      </c>
      <c r="I1639" s="20">
        <f t="shared" si="51"/>
        <v>45444</v>
      </c>
    </row>
    <row r="1640" spans="1:9" x14ac:dyDescent="0.2">
      <c r="A1640">
        <v>2024</v>
      </c>
      <c r="B1640">
        <v>6</v>
      </c>
      <c r="C1640" t="s">
        <v>55</v>
      </c>
      <c r="D1640" t="s">
        <v>66</v>
      </c>
      <c r="E1640" t="s">
        <v>59</v>
      </c>
      <c r="F1640" s="14">
        <v>124806</v>
      </c>
      <c r="G1640" s="14">
        <v>124806</v>
      </c>
      <c r="H1640">
        <f t="shared" si="50"/>
        <v>0</v>
      </c>
      <c r="I1640" s="20">
        <f t="shared" si="51"/>
        <v>45444</v>
      </c>
    </row>
    <row r="1641" spans="1:9" x14ac:dyDescent="0.2">
      <c r="A1641">
        <v>2024</v>
      </c>
      <c r="B1641">
        <v>6</v>
      </c>
      <c r="C1641" t="s">
        <v>55</v>
      </c>
      <c r="D1641" t="s">
        <v>70</v>
      </c>
      <c r="E1641" t="s">
        <v>68</v>
      </c>
      <c r="F1641" s="14">
        <v>1205191218</v>
      </c>
      <c r="G1641" s="14">
        <v>1205191218</v>
      </c>
      <c r="H1641">
        <f t="shared" si="50"/>
        <v>0</v>
      </c>
      <c r="I1641" s="20">
        <f t="shared" si="51"/>
        <v>45444</v>
      </c>
    </row>
    <row r="1642" spans="1:9" x14ac:dyDescent="0.2">
      <c r="A1642">
        <v>2024</v>
      </c>
      <c r="B1642">
        <v>6</v>
      </c>
      <c r="C1642" t="s">
        <v>55</v>
      </c>
      <c r="D1642" t="s">
        <v>70</v>
      </c>
      <c r="E1642" t="s">
        <v>61</v>
      </c>
      <c r="F1642" s="14">
        <v>3484538</v>
      </c>
      <c r="G1642" s="14">
        <v>2323018</v>
      </c>
      <c r="H1642">
        <f t="shared" si="50"/>
        <v>0</v>
      </c>
      <c r="I1642" s="20">
        <f t="shared" si="51"/>
        <v>45444</v>
      </c>
    </row>
    <row r="1643" spans="1:9" x14ac:dyDescent="0.2">
      <c r="A1643">
        <v>2024</v>
      </c>
      <c r="B1643">
        <v>6</v>
      </c>
      <c r="C1643" t="s">
        <v>64</v>
      </c>
      <c r="D1643" t="s">
        <v>70</v>
      </c>
      <c r="E1643" t="s">
        <v>61</v>
      </c>
      <c r="F1643" s="14">
        <v>3414532</v>
      </c>
      <c r="G1643" s="14">
        <v>2276354</v>
      </c>
      <c r="H1643">
        <f t="shared" si="50"/>
        <v>0</v>
      </c>
      <c r="I1643" s="20">
        <f t="shared" si="51"/>
        <v>45444</v>
      </c>
    </row>
    <row r="1644" spans="1:9" x14ac:dyDescent="0.2">
      <c r="A1644">
        <v>2024</v>
      </c>
      <c r="B1644">
        <v>6</v>
      </c>
      <c r="C1644" t="s">
        <v>64</v>
      </c>
      <c r="D1644" t="s">
        <v>70</v>
      </c>
      <c r="E1644" t="s">
        <v>68</v>
      </c>
      <c r="F1644" s="14">
        <v>1182008</v>
      </c>
      <c r="G1644" s="14">
        <v>1182008</v>
      </c>
      <c r="H1644">
        <f t="shared" si="50"/>
        <v>0</v>
      </c>
      <c r="I1644" s="20">
        <f t="shared" si="51"/>
        <v>45444</v>
      </c>
    </row>
    <row r="1645" spans="1:9" x14ac:dyDescent="0.2">
      <c r="A1645">
        <v>2024</v>
      </c>
      <c r="B1645">
        <v>6</v>
      </c>
      <c r="C1645" t="s">
        <v>64</v>
      </c>
      <c r="D1645" t="s">
        <v>71</v>
      </c>
      <c r="E1645" t="s">
        <v>72</v>
      </c>
      <c r="F1645" s="14">
        <v>24011</v>
      </c>
      <c r="G1645" s="14">
        <v>24011</v>
      </c>
      <c r="H1645">
        <f t="shared" si="50"/>
        <v>0</v>
      </c>
      <c r="I1645" s="20">
        <f t="shared" si="51"/>
        <v>45444</v>
      </c>
    </row>
    <row r="1646" spans="1:9" x14ac:dyDescent="0.2">
      <c r="A1646">
        <v>2024</v>
      </c>
      <c r="B1646">
        <v>7</v>
      </c>
      <c r="C1646" t="s">
        <v>55</v>
      </c>
      <c r="D1646" t="s">
        <v>56</v>
      </c>
      <c r="E1646" t="s">
        <v>59</v>
      </c>
      <c r="F1646" s="14">
        <v>72113037</v>
      </c>
      <c r="G1646" s="14">
        <v>72113037</v>
      </c>
      <c r="H1646">
        <f t="shared" si="50"/>
        <v>0</v>
      </c>
      <c r="I1646" s="20">
        <f t="shared" si="51"/>
        <v>45474</v>
      </c>
    </row>
    <row r="1647" spans="1:9" x14ac:dyDescent="0.2">
      <c r="A1647">
        <v>2024</v>
      </c>
      <c r="B1647">
        <v>7</v>
      </c>
      <c r="C1647" t="s">
        <v>55</v>
      </c>
      <c r="D1647" t="s">
        <v>56</v>
      </c>
      <c r="E1647" t="s">
        <v>57</v>
      </c>
      <c r="F1647" s="14">
        <v>5942796</v>
      </c>
      <c r="G1647" s="14">
        <v>5942796</v>
      </c>
      <c r="H1647">
        <f t="shared" si="50"/>
        <v>0</v>
      </c>
      <c r="I1647" s="20">
        <f t="shared" si="51"/>
        <v>45474</v>
      </c>
    </row>
    <row r="1648" spans="1:9" x14ac:dyDescent="0.2">
      <c r="A1648">
        <v>2024</v>
      </c>
      <c r="B1648">
        <v>7</v>
      </c>
      <c r="C1648" t="s">
        <v>55</v>
      </c>
      <c r="D1648" t="s">
        <v>56</v>
      </c>
      <c r="E1648" t="s">
        <v>58</v>
      </c>
      <c r="F1648" s="14">
        <v>3354072</v>
      </c>
      <c r="G1648" s="14">
        <v>3354072</v>
      </c>
      <c r="H1648">
        <f t="shared" si="50"/>
        <v>0</v>
      </c>
      <c r="I1648" s="20">
        <f t="shared" si="51"/>
        <v>45474</v>
      </c>
    </row>
    <row r="1649" spans="1:9" x14ac:dyDescent="0.2">
      <c r="A1649">
        <v>2024</v>
      </c>
      <c r="B1649">
        <v>7</v>
      </c>
      <c r="C1649" t="s">
        <v>64</v>
      </c>
      <c r="D1649" t="s">
        <v>56</v>
      </c>
      <c r="E1649" t="s">
        <v>58</v>
      </c>
      <c r="F1649" s="14">
        <v>3264720</v>
      </c>
      <c r="G1649" s="14">
        <v>3264720</v>
      </c>
      <c r="H1649">
        <f t="shared" si="50"/>
        <v>0</v>
      </c>
      <c r="I1649" s="20">
        <f t="shared" si="51"/>
        <v>45474</v>
      </c>
    </row>
    <row r="1650" spans="1:9" x14ac:dyDescent="0.2">
      <c r="A1650">
        <v>2024</v>
      </c>
      <c r="B1650">
        <v>7</v>
      </c>
      <c r="C1650" t="s">
        <v>64</v>
      </c>
      <c r="D1650" t="s">
        <v>56</v>
      </c>
      <c r="E1650" t="s">
        <v>59</v>
      </c>
      <c r="F1650" s="14">
        <v>399982</v>
      </c>
      <c r="G1650" s="14">
        <v>399982</v>
      </c>
      <c r="H1650">
        <f t="shared" si="50"/>
        <v>0</v>
      </c>
      <c r="I1650" s="20">
        <f t="shared" si="51"/>
        <v>45474</v>
      </c>
    </row>
    <row r="1651" spans="1:9" x14ac:dyDescent="0.2">
      <c r="A1651">
        <v>2024</v>
      </c>
      <c r="B1651">
        <v>7</v>
      </c>
      <c r="C1651" t="s">
        <v>55</v>
      </c>
      <c r="D1651" t="s">
        <v>60</v>
      </c>
      <c r="E1651" t="s">
        <v>63</v>
      </c>
      <c r="F1651" s="14">
        <v>395464122</v>
      </c>
      <c r="G1651" s="14">
        <v>232625872</v>
      </c>
      <c r="H1651">
        <f t="shared" si="50"/>
        <v>0</v>
      </c>
      <c r="I1651" s="20">
        <f t="shared" si="51"/>
        <v>45474</v>
      </c>
    </row>
    <row r="1652" spans="1:9" x14ac:dyDescent="0.2">
      <c r="A1652">
        <v>2024</v>
      </c>
      <c r="B1652">
        <v>7</v>
      </c>
      <c r="C1652" t="s">
        <v>55</v>
      </c>
      <c r="D1652" t="s">
        <v>60</v>
      </c>
      <c r="E1652" t="s">
        <v>61</v>
      </c>
      <c r="F1652" s="14">
        <v>217430878</v>
      </c>
      <c r="G1652" s="14">
        <v>144952117</v>
      </c>
      <c r="H1652">
        <f t="shared" si="50"/>
        <v>0</v>
      </c>
      <c r="I1652" s="20">
        <f t="shared" si="51"/>
        <v>45474</v>
      </c>
    </row>
    <row r="1653" spans="1:9" x14ac:dyDescent="0.2">
      <c r="A1653">
        <v>2024</v>
      </c>
      <c r="B1653">
        <v>7</v>
      </c>
      <c r="C1653" t="s">
        <v>55</v>
      </c>
      <c r="D1653" t="s">
        <v>60</v>
      </c>
      <c r="E1653" t="s">
        <v>76</v>
      </c>
      <c r="F1653" s="14">
        <v>86016202</v>
      </c>
      <c r="G1653" s="14">
        <v>53760126</v>
      </c>
      <c r="H1653">
        <f t="shared" si="50"/>
        <v>0</v>
      </c>
      <c r="I1653" s="20">
        <f t="shared" si="51"/>
        <v>45474</v>
      </c>
    </row>
    <row r="1654" spans="1:9" x14ac:dyDescent="0.2">
      <c r="A1654">
        <v>2024</v>
      </c>
      <c r="B1654">
        <v>7</v>
      </c>
      <c r="C1654" t="s">
        <v>64</v>
      </c>
      <c r="D1654" t="s">
        <v>60</v>
      </c>
      <c r="E1654" t="s">
        <v>63</v>
      </c>
      <c r="F1654" s="14">
        <v>42802473</v>
      </c>
      <c r="G1654" s="14">
        <v>25177925</v>
      </c>
      <c r="H1654">
        <f t="shared" si="50"/>
        <v>0</v>
      </c>
      <c r="I1654" s="20">
        <f t="shared" si="51"/>
        <v>45474</v>
      </c>
    </row>
    <row r="1655" spans="1:9" x14ac:dyDescent="0.2">
      <c r="A1655">
        <v>2024</v>
      </c>
      <c r="B1655">
        <v>7</v>
      </c>
      <c r="C1655" t="s">
        <v>62</v>
      </c>
      <c r="D1655" t="s">
        <v>60</v>
      </c>
      <c r="E1655" t="s">
        <v>63</v>
      </c>
      <c r="F1655" s="14">
        <v>37477648</v>
      </c>
      <c r="G1655" s="14">
        <v>22045675</v>
      </c>
      <c r="H1655">
        <f t="shared" si="50"/>
        <v>0</v>
      </c>
      <c r="I1655" s="20">
        <f t="shared" si="51"/>
        <v>45474</v>
      </c>
    </row>
    <row r="1656" spans="1:9" x14ac:dyDescent="0.2">
      <c r="A1656">
        <v>2024</v>
      </c>
      <c r="B1656">
        <v>7</v>
      </c>
      <c r="C1656" t="s">
        <v>64</v>
      </c>
      <c r="D1656" t="s">
        <v>60</v>
      </c>
      <c r="E1656" t="s">
        <v>61</v>
      </c>
      <c r="F1656" s="14">
        <v>33689886</v>
      </c>
      <c r="G1656" s="14">
        <v>22459889</v>
      </c>
      <c r="H1656">
        <f t="shared" si="50"/>
        <v>0</v>
      </c>
      <c r="I1656" s="20">
        <f t="shared" si="51"/>
        <v>45474</v>
      </c>
    </row>
    <row r="1657" spans="1:9" x14ac:dyDescent="0.2">
      <c r="A1657">
        <v>2024</v>
      </c>
      <c r="B1657">
        <v>7</v>
      </c>
      <c r="C1657" t="s">
        <v>62</v>
      </c>
      <c r="D1657" t="s">
        <v>60</v>
      </c>
      <c r="E1657" t="s">
        <v>65</v>
      </c>
      <c r="F1657" s="14">
        <v>11099915</v>
      </c>
      <c r="G1657" s="14">
        <v>6937447</v>
      </c>
      <c r="H1657">
        <f t="shared" si="50"/>
        <v>1</v>
      </c>
      <c r="I1657" s="20">
        <f t="shared" si="51"/>
        <v>45474</v>
      </c>
    </row>
    <row r="1658" spans="1:9" x14ac:dyDescent="0.2">
      <c r="A1658">
        <v>2024</v>
      </c>
      <c r="B1658">
        <v>7</v>
      </c>
      <c r="C1658" t="s">
        <v>55</v>
      </c>
      <c r="D1658" t="s">
        <v>60</v>
      </c>
      <c r="E1658" t="s">
        <v>65</v>
      </c>
      <c r="F1658" s="14">
        <v>5211020</v>
      </c>
      <c r="G1658" s="14">
        <v>3256887</v>
      </c>
      <c r="H1658">
        <f t="shared" si="50"/>
        <v>1</v>
      </c>
      <c r="I1658" s="20">
        <f t="shared" si="51"/>
        <v>45474</v>
      </c>
    </row>
    <row r="1659" spans="1:9" x14ac:dyDescent="0.2">
      <c r="A1659">
        <v>2024</v>
      </c>
      <c r="B1659">
        <v>7</v>
      </c>
      <c r="C1659" t="s">
        <v>55</v>
      </c>
      <c r="D1659" t="s">
        <v>66</v>
      </c>
      <c r="E1659" t="s">
        <v>63</v>
      </c>
      <c r="F1659" s="14">
        <v>11665573</v>
      </c>
      <c r="G1659" s="14">
        <v>6862102</v>
      </c>
      <c r="H1659">
        <f t="shared" si="50"/>
        <v>0</v>
      </c>
      <c r="I1659" s="20">
        <f t="shared" si="51"/>
        <v>45474</v>
      </c>
    </row>
    <row r="1660" spans="1:9" x14ac:dyDescent="0.2">
      <c r="A1660">
        <v>2024</v>
      </c>
      <c r="B1660">
        <v>7</v>
      </c>
      <c r="C1660" t="s">
        <v>55</v>
      </c>
      <c r="D1660" t="s">
        <v>66</v>
      </c>
      <c r="E1660" t="s">
        <v>67</v>
      </c>
      <c r="F1660" s="14">
        <v>4393236</v>
      </c>
      <c r="G1660" s="14">
        <v>2928812</v>
      </c>
      <c r="H1660">
        <f t="shared" si="50"/>
        <v>0</v>
      </c>
      <c r="I1660" s="20">
        <f t="shared" si="51"/>
        <v>45474</v>
      </c>
    </row>
    <row r="1661" spans="1:9" x14ac:dyDescent="0.2">
      <c r="A1661">
        <v>2024</v>
      </c>
      <c r="B1661">
        <v>7</v>
      </c>
      <c r="C1661" t="s">
        <v>55</v>
      </c>
      <c r="D1661" t="s">
        <v>66</v>
      </c>
      <c r="E1661" t="s">
        <v>68</v>
      </c>
      <c r="F1661" s="14">
        <v>2272727</v>
      </c>
      <c r="G1661" s="14">
        <v>2272727</v>
      </c>
      <c r="H1661">
        <f t="shared" si="50"/>
        <v>0</v>
      </c>
      <c r="I1661" s="20">
        <f t="shared" si="51"/>
        <v>45474</v>
      </c>
    </row>
    <row r="1662" spans="1:9" x14ac:dyDescent="0.2">
      <c r="A1662">
        <v>2024</v>
      </c>
      <c r="B1662">
        <v>7</v>
      </c>
      <c r="C1662" t="s">
        <v>55</v>
      </c>
      <c r="D1662" t="s">
        <v>66</v>
      </c>
      <c r="E1662" t="s">
        <v>75</v>
      </c>
      <c r="F1662" s="14">
        <v>1964281</v>
      </c>
      <c r="G1662" s="14">
        <v>1403057</v>
      </c>
      <c r="H1662">
        <f t="shared" si="50"/>
        <v>0</v>
      </c>
      <c r="I1662" s="20">
        <f t="shared" si="51"/>
        <v>45474</v>
      </c>
    </row>
    <row r="1663" spans="1:9" x14ac:dyDescent="0.2">
      <c r="A1663">
        <v>2024</v>
      </c>
      <c r="B1663">
        <v>7</v>
      </c>
      <c r="C1663" t="s">
        <v>55</v>
      </c>
      <c r="D1663" t="s">
        <v>66</v>
      </c>
      <c r="E1663" t="s">
        <v>69</v>
      </c>
      <c r="F1663" s="14">
        <v>339033</v>
      </c>
      <c r="G1663" s="14">
        <v>211895</v>
      </c>
      <c r="H1663">
        <f t="shared" si="50"/>
        <v>0</v>
      </c>
      <c r="I1663" s="20">
        <f t="shared" si="51"/>
        <v>45474</v>
      </c>
    </row>
    <row r="1664" spans="1:9" x14ac:dyDescent="0.2">
      <c r="A1664">
        <v>2024</v>
      </c>
      <c r="B1664">
        <v>7</v>
      </c>
      <c r="C1664" t="s">
        <v>55</v>
      </c>
      <c r="D1664" t="s">
        <v>66</v>
      </c>
      <c r="E1664" t="s">
        <v>59</v>
      </c>
      <c r="F1664" s="14">
        <v>120810</v>
      </c>
      <c r="G1664" s="14">
        <v>120810</v>
      </c>
      <c r="H1664">
        <f t="shared" si="50"/>
        <v>0</v>
      </c>
      <c r="I1664" s="20">
        <f t="shared" si="51"/>
        <v>45474</v>
      </c>
    </row>
    <row r="1665" spans="1:9" x14ac:dyDescent="0.2">
      <c r="A1665">
        <v>2024</v>
      </c>
      <c r="B1665">
        <v>7</v>
      </c>
      <c r="C1665" t="s">
        <v>55</v>
      </c>
      <c r="D1665" t="s">
        <v>70</v>
      </c>
      <c r="E1665" t="s">
        <v>68</v>
      </c>
      <c r="F1665" s="14">
        <v>1324074001</v>
      </c>
      <c r="G1665" s="14">
        <v>1324074001</v>
      </c>
      <c r="H1665">
        <f t="shared" si="50"/>
        <v>0</v>
      </c>
      <c r="I1665" s="20">
        <f t="shared" si="51"/>
        <v>45474</v>
      </c>
    </row>
    <row r="1666" spans="1:9" x14ac:dyDescent="0.2">
      <c r="A1666">
        <v>2024</v>
      </c>
      <c r="B1666">
        <v>7</v>
      </c>
      <c r="C1666" t="s">
        <v>64</v>
      </c>
      <c r="D1666" t="s">
        <v>70</v>
      </c>
      <c r="E1666" t="s">
        <v>68</v>
      </c>
      <c r="F1666" s="14">
        <v>1350023</v>
      </c>
      <c r="G1666" s="14">
        <v>1350023</v>
      </c>
      <c r="H1666">
        <f t="shared" si="50"/>
        <v>0</v>
      </c>
      <c r="I1666" s="20">
        <f t="shared" si="51"/>
        <v>45474</v>
      </c>
    </row>
    <row r="1667" spans="1:9" x14ac:dyDescent="0.2">
      <c r="A1667">
        <v>2024</v>
      </c>
      <c r="B1667">
        <v>7</v>
      </c>
      <c r="C1667" t="s">
        <v>55</v>
      </c>
      <c r="D1667" t="s">
        <v>70</v>
      </c>
      <c r="E1667" t="s">
        <v>61</v>
      </c>
      <c r="F1667" s="14">
        <v>909212</v>
      </c>
      <c r="G1667" s="14">
        <v>606134</v>
      </c>
      <c r="H1667">
        <f t="shared" ref="H1667:H1730" si="52">--ISNUMBER(SEARCH("Jet Fuel",E1667))</f>
        <v>0</v>
      </c>
      <c r="I1667" s="20">
        <f t="shared" ref="I1667:I1730" si="53">DATE(A1667,B1667,1)</f>
        <v>45474</v>
      </c>
    </row>
    <row r="1668" spans="1:9" x14ac:dyDescent="0.2">
      <c r="A1668">
        <v>2024</v>
      </c>
      <c r="B1668">
        <v>7</v>
      </c>
      <c r="C1668" t="s">
        <v>64</v>
      </c>
      <c r="D1668" t="s">
        <v>71</v>
      </c>
      <c r="E1668" t="s">
        <v>72</v>
      </c>
      <c r="F1668" s="14">
        <v>12018</v>
      </c>
      <c r="G1668" s="14">
        <v>12018</v>
      </c>
      <c r="H1668">
        <f t="shared" si="52"/>
        <v>0</v>
      </c>
      <c r="I1668" s="20">
        <f t="shared" si="53"/>
        <v>45474</v>
      </c>
    </row>
    <row r="1669" spans="1:9" x14ac:dyDescent="0.2">
      <c r="A1669">
        <v>2024</v>
      </c>
      <c r="B1669">
        <v>8</v>
      </c>
      <c r="C1669" t="s">
        <v>55</v>
      </c>
      <c r="D1669" t="s">
        <v>56</v>
      </c>
      <c r="E1669" t="s">
        <v>59</v>
      </c>
      <c r="F1669" s="14">
        <v>78555859</v>
      </c>
      <c r="G1669" s="14">
        <v>78555859</v>
      </c>
      <c r="H1669">
        <f t="shared" si="52"/>
        <v>0</v>
      </c>
      <c r="I1669" s="20">
        <f t="shared" si="53"/>
        <v>45505</v>
      </c>
    </row>
    <row r="1670" spans="1:9" x14ac:dyDescent="0.2">
      <c r="A1670">
        <v>2024</v>
      </c>
      <c r="B1670">
        <v>8</v>
      </c>
      <c r="C1670" t="s">
        <v>55</v>
      </c>
      <c r="D1670" t="s">
        <v>56</v>
      </c>
      <c r="E1670" t="s">
        <v>57</v>
      </c>
      <c r="F1670" s="14">
        <v>4109184</v>
      </c>
      <c r="G1670" s="14">
        <v>4109184</v>
      </c>
      <c r="H1670">
        <f t="shared" si="52"/>
        <v>0</v>
      </c>
      <c r="I1670" s="20">
        <f t="shared" si="53"/>
        <v>45505</v>
      </c>
    </row>
    <row r="1671" spans="1:9" x14ac:dyDescent="0.2">
      <c r="A1671">
        <v>2024</v>
      </c>
      <c r="B1671">
        <v>8</v>
      </c>
      <c r="C1671" t="s">
        <v>64</v>
      </c>
      <c r="D1671" t="s">
        <v>56</v>
      </c>
      <c r="E1671" t="s">
        <v>58</v>
      </c>
      <c r="F1671" s="14">
        <v>3694958</v>
      </c>
      <c r="G1671" s="14">
        <v>3694958</v>
      </c>
      <c r="H1671">
        <f t="shared" si="52"/>
        <v>0</v>
      </c>
      <c r="I1671" s="20">
        <f t="shared" si="53"/>
        <v>45505</v>
      </c>
    </row>
    <row r="1672" spans="1:9" x14ac:dyDescent="0.2">
      <c r="A1672">
        <v>2024</v>
      </c>
      <c r="B1672">
        <v>8</v>
      </c>
      <c r="C1672" t="s">
        <v>55</v>
      </c>
      <c r="D1672" t="s">
        <v>56</v>
      </c>
      <c r="E1672" t="s">
        <v>58</v>
      </c>
      <c r="F1672" s="14">
        <v>2748733</v>
      </c>
      <c r="G1672" s="14">
        <v>2748733</v>
      </c>
      <c r="H1672">
        <f t="shared" si="52"/>
        <v>0</v>
      </c>
      <c r="I1672" s="20">
        <f t="shared" si="53"/>
        <v>45505</v>
      </c>
    </row>
    <row r="1673" spans="1:9" x14ac:dyDescent="0.2">
      <c r="A1673">
        <v>2024</v>
      </c>
      <c r="B1673">
        <v>8</v>
      </c>
      <c r="C1673" t="s">
        <v>64</v>
      </c>
      <c r="D1673" t="s">
        <v>56</v>
      </c>
      <c r="E1673" t="s">
        <v>59</v>
      </c>
      <c r="F1673" s="14">
        <v>229292</v>
      </c>
      <c r="G1673" s="14">
        <v>229292</v>
      </c>
      <c r="H1673">
        <f t="shared" si="52"/>
        <v>0</v>
      </c>
      <c r="I1673" s="20">
        <f t="shared" si="53"/>
        <v>45505</v>
      </c>
    </row>
    <row r="1674" spans="1:9" x14ac:dyDescent="0.2">
      <c r="A1674">
        <v>2024</v>
      </c>
      <c r="B1674">
        <v>8</v>
      </c>
      <c r="C1674" t="s">
        <v>55</v>
      </c>
      <c r="D1674" t="s">
        <v>60</v>
      </c>
      <c r="E1674" t="s">
        <v>63</v>
      </c>
      <c r="F1674" s="14">
        <v>346511122</v>
      </c>
      <c r="G1674" s="14">
        <v>203829984</v>
      </c>
      <c r="H1674">
        <f t="shared" si="52"/>
        <v>0</v>
      </c>
      <c r="I1674" s="20">
        <f t="shared" si="53"/>
        <v>45505</v>
      </c>
    </row>
    <row r="1675" spans="1:9" x14ac:dyDescent="0.2">
      <c r="A1675">
        <v>2024</v>
      </c>
      <c r="B1675">
        <v>8</v>
      </c>
      <c r="C1675" t="s">
        <v>55</v>
      </c>
      <c r="D1675" t="s">
        <v>60</v>
      </c>
      <c r="E1675" t="s">
        <v>61</v>
      </c>
      <c r="F1675" s="14">
        <v>207484540</v>
      </c>
      <c r="G1675" s="14">
        <v>138321175</v>
      </c>
      <c r="H1675">
        <f t="shared" si="52"/>
        <v>0</v>
      </c>
      <c r="I1675" s="20">
        <f t="shared" si="53"/>
        <v>45505</v>
      </c>
    </row>
    <row r="1676" spans="1:9" x14ac:dyDescent="0.2">
      <c r="A1676">
        <v>2024</v>
      </c>
      <c r="B1676">
        <v>8</v>
      </c>
      <c r="C1676" t="s">
        <v>55</v>
      </c>
      <c r="D1676" t="s">
        <v>60</v>
      </c>
      <c r="E1676" t="s">
        <v>76</v>
      </c>
      <c r="F1676" s="14">
        <v>77129131</v>
      </c>
      <c r="G1676" s="14">
        <v>48205707</v>
      </c>
      <c r="H1676">
        <f t="shared" si="52"/>
        <v>0</v>
      </c>
      <c r="I1676" s="20">
        <f t="shared" si="53"/>
        <v>45505</v>
      </c>
    </row>
    <row r="1677" spans="1:9" x14ac:dyDescent="0.2">
      <c r="A1677">
        <v>2024</v>
      </c>
      <c r="B1677">
        <v>8</v>
      </c>
      <c r="C1677" t="s">
        <v>62</v>
      </c>
      <c r="D1677" t="s">
        <v>60</v>
      </c>
      <c r="E1677" t="s">
        <v>63</v>
      </c>
      <c r="F1677" s="14">
        <v>39060624</v>
      </c>
      <c r="G1677" s="14">
        <v>22976837</v>
      </c>
      <c r="H1677">
        <f t="shared" si="52"/>
        <v>0</v>
      </c>
      <c r="I1677" s="20">
        <f t="shared" si="53"/>
        <v>45505</v>
      </c>
    </row>
    <row r="1678" spans="1:9" x14ac:dyDescent="0.2">
      <c r="A1678">
        <v>2024</v>
      </c>
      <c r="B1678">
        <v>8</v>
      </c>
      <c r="C1678" t="s">
        <v>64</v>
      </c>
      <c r="D1678" t="s">
        <v>60</v>
      </c>
      <c r="E1678" t="s">
        <v>61</v>
      </c>
      <c r="F1678" s="14">
        <v>36745725</v>
      </c>
      <c r="G1678" s="14">
        <v>24497122</v>
      </c>
      <c r="H1678">
        <f t="shared" si="52"/>
        <v>0</v>
      </c>
      <c r="I1678" s="20">
        <f t="shared" si="53"/>
        <v>45505</v>
      </c>
    </row>
    <row r="1679" spans="1:9" x14ac:dyDescent="0.2">
      <c r="A1679">
        <v>2024</v>
      </c>
      <c r="B1679">
        <v>8</v>
      </c>
      <c r="C1679" t="s">
        <v>62</v>
      </c>
      <c r="D1679" t="s">
        <v>60</v>
      </c>
      <c r="E1679" t="s">
        <v>65</v>
      </c>
      <c r="F1679" s="14">
        <v>11187097</v>
      </c>
      <c r="G1679" s="14">
        <v>6991936</v>
      </c>
      <c r="H1679">
        <f t="shared" si="52"/>
        <v>1</v>
      </c>
      <c r="I1679" s="20">
        <f t="shared" si="53"/>
        <v>45505</v>
      </c>
    </row>
    <row r="1680" spans="1:9" x14ac:dyDescent="0.2">
      <c r="A1680">
        <v>2024</v>
      </c>
      <c r="B1680">
        <v>8</v>
      </c>
      <c r="C1680" t="s">
        <v>55</v>
      </c>
      <c r="D1680" t="s">
        <v>60</v>
      </c>
      <c r="E1680" t="s">
        <v>65</v>
      </c>
      <c r="F1680" s="14">
        <v>6442857</v>
      </c>
      <c r="G1680" s="14">
        <v>4026790</v>
      </c>
      <c r="H1680">
        <f t="shared" si="52"/>
        <v>1</v>
      </c>
      <c r="I1680" s="20">
        <f t="shared" si="53"/>
        <v>45505</v>
      </c>
    </row>
    <row r="1681" spans="1:9" x14ac:dyDescent="0.2">
      <c r="A1681">
        <v>2024</v>
      </c>
      <c r="B1681">
        <v>8</v>
      </c>
      <c r="C1681" t="s">
        <v>55</v>
      </c>
      <c r="D1681" t="s">
        <v>66</v>
      </c>
      <c r="E1681" t="s">
        <v>63</v>
      </c>
      <c r="F1681" s="14">
        <v>15069221</v>
      </c>
      <c r="G1681" s="14">
        <v>8864247</v>
      </c>
      <c r="H1681">
        <f t="shared" si="52"/>
        <v>0</v>
      </c>
      <c r="I1681" s="20">
        <f t="shared" si="53"/>
        <v>45505</v>
      </c>
    </row>
    <row r="1682" spans="1:9" x14ac:dyDescent="0.2">
      <c r="A1682">
        <v>2024</v>
      </c>
      <c r="B1682">
        <v>8</v>
      </c>
      <c r="C1682" t="s">
        <v>55</v>
      </c>
      <c r="D1682" t="s">
        <v>66</v>
      </c>
      <c r="E1682" t="s">
        <v>67</v>
      </c>
      <c r="F1682" s="14">
        <v>4288165</v>
      </c>
      <c r="G1682" s="14">
        <v>2858762</v>
      </c>
      <c r="H1682">
        <f t="shared" si="52"/>
        <v>0</v>
      </c>
      <c r="I1682" s="20">
        <f t="shared" si="53"/>
        <v>45505</v>
      </c>
    </row>
    <row r="1683" spans="1:9" x14ac:dyDescent="0.2">
      <c r="A1683">
        <v>2024</v>
      </c>
      <c r="B1683">
        <v>8</v>
      </c>
      <c r="C1683" t="s">
        <v>55</v>
      </c>
      <c r="D1683" t="s">
        <v>66</v>
      </c>
      <c r="E1683" t="s">
        <v>68</v>
      </c>
      <c r="F1683" s="14">
        <v>2063554</v>
      </c>
      <c r="G1683" s="14">
        <v>2063554</v>
      </c>
      <c r="H1683">
        <f t="shared" si="52"/>
        <v>0</v>
      </c>
      <c r="I1683" s="20">
        <f t="shared" si="53"/>
        <v>45505</v>
      </c>
    </row>
    <row r="1684" spans="1:9" x14ac:dyDescent="0.2">
      <c r="A1684">
        <v>2024</v>
      </c>
      <c r="B1684">
        <v>8</v>
      </c>
      <c r="C1684" t="s">
        <v>55</v>
      </c>
      <c r="D1684" t="s">
        <v>66</v>
      </c>
      <c r="E1684" t="s">
        <v>75</v>
      </c>
      <c r="F1684" s="14">
        <v>1826973</v>
      </c>
      <c r="G1684" s="14">
        <v>1304981</v>
      </c>
      <c r="H1684">
        <f t="shared" si="52"/>
        <v>0</v>
      </c>
      <c r="I1684" s="20">
        <f t="shared" si="53"/>
        <v>45505</v>
      </c>
    </row>
    <row r="1685" spans="1:9" x14ac:dyDescent="0.2">
      <c r="A1685">
        <v>2024</v>
      </c>
      <c r="B1685">
        <v>8</v>
      </c>
      <c r="C1685" t="s">
        <v>55</v>
      </c>
      <c r="D1685" t="s">
        <v>66</v>
      </c>
      <c r="E1685" t="s">
        <v>69</v>
      </c>
      <c r="F1685" s="14">
        <v>367511</v>
      </c>
      <c r="G1685" s="14">
        <v>229695</v>
      </c>
      <c r="H1685">
        <f t="shared" si="52"/>
        <v>0</v>
      </c>
      <c r="I1685" s="20">
        <f t="shared" si="53"/>
        <v>45505</v>
      </c>
    </row>
    <row r="1686" spans="1:9" x14ac:dyDescent="0.2">
      <c r="A1686">
        <v>2024</v>
      </c>
      <c r="B1686">
        <v>8</v>
      </c>
      <c r="C1686" t="s">
        <v>55</v>
      </c>
      <c r="D1686" t="s">
        <v>66</v>
      </c>
      <c r="E1686" t="s">
        <v>59</v>
      </c>
      <c r="F1686" s="14">
        <v>108995</v>
      </c>
      <c r="G1686" s="14">
        <v>108995</v>
      </c>
      <c r="H1686">
        <f t="shared" si="52"/>
        <v>0</v>
      </c>
      <c r="I1686" s="20">
        <f t="shared" si="53"/>
        <v>45505</v>
      </c>
    </row>
    <row r="1687" spans="1:9" x14ac:dyDescent="0.2">
      <c r="A1687">
        <v>2024</v>
      </c>
      <c r="B1687">
        <v>8</v>
      </c>
      <c r="C1687" t="s">
        <v>55</v>
      </c>
      <c r="D1687" t="s">
        <v>70</v>
      </c>
      <c r="E1687" t="s">
        <v>68</v>
      </c>
      <c r="F1687" s="14">
        <v>1316239398</v>
      </c>
      <c r="G1687" s="14">
        <v>1316239398</v>
      </c>
      <c r="H1687">
        <f t="shared" si="52"/>
        <v>0</v>
      </c>
      <c r="I1687" s="20">
        <f t="shared" si="53"/>
        <v>45505</v>
      </c>
    </row>
    <row r="1688" spans="1:9" x14ac:dyDescent="0.2">
      <c r="A1688">
        <v>2024</v>
      </c>
      <c r="B1688">
        <v>8</v>
      </c>
      <c r="C1688" t="s">
        <v>64</v>
      </c>
      <c r="D1688" t="s">
        <v>70</v>
      </c>
      <c r="E1688" t="s">
        <v>68</v>
      </c>
      <c r="F1688" s="14">
        <v>1345517</v>
      </c>
      <c r="G1688" s="14">
        <v>1345517</v>
      </c>
      <c r="H1688">
        <f t="shared" si="52"/>
        <v>0</v>
      </c>
      <c r="I1688" s="20">
        <f t="shared" si="53"/>
        <v>45505</v>
      </c>
    </row>
    <row r="1689" spans="1:9" x14ac:dyDescent="0.2">
      <c r="A1689">
        <v>2024</v>
      </c>
      <c r="B1689">
        <v>8</v>
      </c>
      <c r="C1689" t="s">
        <v>55</v>
      </c>
      <c r="D1689" t="s">
        <v>70</v>
      </c>
      <c r="E1689" t="s">
        <v>61</v>
      </c>
      <c r="F1689" s="14">
        <v>419399</v>
      </c>
      <c r="G1689" s="14">
        <v>279593</v>
      </c>
      <c r="H1689">
        <f t="shared" si="52"/>
        <v>0</v>
      </c>
      <c r="I1689" s="20">
        <f t="shared" si="53"/>
        <v>45505</v>
      </c>
    </row>
    <row r="1690" spans="1:9" x14ac:dyDescent="0.2">
      <c r="A1690">
        <v>2024</v>
      </c>
      <c r="B1690">
        <v>9</v>
      </c>
      <c r="C1690" t="s">
        <v>55</v>
      </c>
      <c r="D1690" t="s">
        <v>56</v>
      </c>
      <c r="E1690" t="s">
        <v>59</v>
      </c>
      <c r="F1690" s="14">
        <v>81898810</v>
      </c>
      <c r="G1690" s="14">
        <v>81898810</v>
      </c>
      <c r="H1690">
        <f t="shared" si="52"/>
        <v>0</v>
      </c>
      <c r="I1690" s="20">
        <f t="shared" si="53"/>
        <v>45536</v>
      </c>
    </row>
    <row r="1691" spans="1:9" x14ac:dyDescent="0.2">
      <c r="A1691">
        <v>2024</v>
      </c>
      <c r="B1691">
        <v>9</v>
      </c>
      <c r="C1691" t="s">
        <v>55</v>
      </c>
      <c r="D1691" t="s">
        <v>56</v>
      </c>
      <c r="E1691" t="s">
        <v>57</v>
      </c>
      <c r="F1691" s="14">
        <v>5794701</v>
      </c>
      <c r="G1691" s="14">
        <v>5794701</v>
      </c>
      <c r="H1691">
        <f t="shared" si="52"/>
        <v>0</v>
      </c>
      <c r="I1691" s="20">
        <f t="shared" si="53"/>
        <v>45536</v>
      </c>
    </row>
    <row r="1692" spans="1:9" x14ac:dyDescent="0.2">
      <c r="A1692">
        <v>2024</v>
      </c>
      <c r="B1692">
        <v>9</v>
      </c>
      <c r="C1692" t="s">
        <v>64</v>
      </c>
      <c r="D1692" t="s">
        <v>56</v>
      </c>
      <c r="E1692" t="s">
        <v>58</v>
      </c>
      <c r="F1692" s="14">
        <v>3642128</v>
      </c>
      <c r="G1692" s="14">
        <v>3642128</v>
      </c>
      <c r="H1692">
        <f t="shared" si="52"/>
        <v>0</v>
      </c>
      <c r="I1692" s="20">
        <f t="shared" si="53"/>
        <v>45536</v>
      </c>
    </row>
    <row r="1693" spans="1:9" x14ac:dyDescent="0.2">
      <c r="A1693">
        <v>2024</v>
      </c>
      <c r="B1693">
        <v>9</v>
      </c>
      <c r="C1693" t="s">
        <v>55</v>
      </c>
      <c r="D1693" t="s">
        <v>56</v>
      </c>
      <c r="E1693" t="s">
        <v>58</v>
      </c>
      <c r="F1693" s="14">
        <v>3412037</v>
      </c>
      <c r="G1693" s="14">
        <v>3412037</v>
      </c>
      <c r="H1693">
        <f t="shared" si="52"/>
        <v>0</v>
      </c>
      <c r="I1693" s="20">
        <f t="shared" si="53"/>
        <v>45536</v>
      </c>
    </row>
    <row r="1694" spans="1:9" x14ac:dyDescent="0.2">
      <c r="A1694">
        <v>2024</v>
      </c>
      <c r="B1694">
        <v>9</v>
      </c>
      <c r="C1694" t="s">
        <v>64</v>
      </c>
      <c r="D1694" t="s">
        <v>56</v>
      </c>
      <c r="E1694" t="s">
        <v>59</v>
      </c>
      <c r="F1694" s="14">
        <v>328246</v>
      </c>
      <c r="G1694" s="14">
        <v>328246</v>
      </c>
      <c r="H1694">
        <f t="shared" si="52"/>
        <v>0</v>
      </c>
      <c r="I1694" s="20">
        <f t="shared" si="53"/>
        <v>45536</v>
      </c>
    </row>
    <row r="1695" spans="1:9" x14ac:dyDescent="0.2">
      <c r="A1695">
        <v>2024</v>
      </c>
      <c r="B1695">
        <v>9</v>
      </c>
      <c r="C1695" t="s">
        <v>55</v>
      </c>
      <c r="D1695" t="s">
        <v>56</v>
      </c>
      <c r="E1695" t="s">
        <v>80</v>
      </c>
      <c r="F1695" s="14">
        <v>7098</v>
      </c>
      <c r="G1695" s="14">
        <v>7098</v>
      </c>
      <c r="H1695">
        <f t="shared" si="52"/>
        <v>0</v>
      </c>
      <c r="I1695" s="20">
        <f t="shared" si="53"/>
        <v>45536</v>
      </c>
    </row>
    <row r="1696" spans="1:9" x14ac:dyDescent="0.2">
      <c r="A1696">
        <v>2024</v>
      </c>
      <c r="B1696">
        <v>9</v>
      </c>
      <c r="C1696" t="s">
        <v>55</v>
      </c>
      <c r="D1696" t="s">
        <v>60</v>
      </c>
      <c r="E1696" t="s">
        <v>63</v>
      </c>
      <c r="F1696" s="14">
        <v>368376386</v>
      </c>
      <c r="G1696" s="14">
        <v>216691924</v>
      </c>
      <c r="H1696">
        <f t="shared" si="52"/>
        <v>0</v>
      </c>
      <c r="I1696" s="20">
        <f t="shared" si="53"/>
        <v>45536</v>
      </c>
    </row>
    <row r="1697" spans="1:9" x14ac:dyDescent="0.2">
      <c r="A1697">
        <v>2024</v>
      </c>
      <c r="B1697">
        <v>9</v>
      </c>
      <c r="C1697" t="s">
        <v>55</v>
      </c>
      <c r="D1697" t="s">
        <v>60</v>
      </c>
      <c r="E1697" t="s">
        <v>61</v>
      </c>
      <c r="F1697" s="14">
        <v>198335805</v>
      </c>
      <c r="G1697" s="14">
        <v>132221960</v>
      </c>
      <c r="H1697">
        <f t="shared" si="52"/>
        <v>0</v>
      </c>
      <c r="I1697" s="20">
        <f t="shared" si="53"/>
        <v>45536</v>
      </c>
    </row>
    <row r="1698" spans="1:9" x14ac:dyDescent="0.2">
      <c r="A1698">
        <v>2024</v>
      </c>
      <c r="B1698">
        <v>9</v>
      </c>
      <c r="C1698" t="s">
        <v>55</v>
      </c>
      <c r="D1698" t="s">
        <v>60</v>
      </c>
      <c r="E1698" t="s">
        <v>76</v>
      </c>
      <c r="F1698" s="14">
        <v>55445429</v>
      </c>
      <c r="G1698" s="14">
        <v>34653394</v>
      </c>
      <c r="H1698">
        <f t="shared" si="52"/>
        <v>0</v>
      </c>
      <c r="I1698" s="20">
        <f t="shared" si="53"/>
        <v>45536</v>
      </c>
    </row>
    <row r="1699" spans="1:9" x14ac:dyDescent="0.2">
      <c r="A1699">
        <v>2024</v>
      </c>
      <c r="B1699">
        <v>9</v>
      </c>
      <c r="C1699" t="s">
        <v>64</v>
      </c>
      <c r="D1699" t="s">
        <v>60</v>
      </c>
      <c r="E1699" t="s">
        <v>63</v>
      </c>
      <c r="F1699" s="14">
        <v>41744015</v>
      </c>
      <c r="G1699" s="14">
        <v>24555303</v>
      </c>
      <c r="H1699">
        <f t="shared" si="52"/>
        <v>0</v>
      </c>
      <c r="I1699" s="20">
        <f t="shared" si="53"/>
        <v>45536</v>
      </c>
    </row>
    <row r="1700" spans="1:9" x14ac:dyDescent="0.2">
      <c r="A1700">
        <v>2024</v>
      </c>
      <c r="B1700">
        <v>9</v>
      </c>
      <c r="C1700" t="s">
        <v>64</v>
      </c>
      <c r="D1700" t="s">
        <v>60</v>
      </c>
      <c r="E1700" t="s">
        <v>61</v>
      </c>
      <c r="F1700" s="14">
        <v>39972140</v>
      </c>
      <c r="G1700" s="14">
        <v>26648068</v>
      </c>
      <c r="H1700">
        <f t="shared" si="52"/>
        <v>0</v>
      </c>
      <c r="I1700" s="20">
        <f t="shared" si="53"/>
        <v>45536</v>
      </c>
    </row>
    <row r="1701" spans="1:9" x14ac:dyDescent="0.2">
      <c r="A1701">
        <v>2024</v>
      </c>
      <c r="B1701">
        <v>9</v>
      </c>
      <c r="C1701" t="s">
        <v>62</v>
      </c>
      <c r="D1701" t="s">
        <v>60</v>
      </c>
      <c r="E1701" t="s">
        <v>63</v>
      </c>
      <c r="F1701" s="14">
        <v>31025527</v>
      </c>
      <c r="G1701" s="14">
        <v>18250310</v>
      </c>
      <c r="H1701">
        <f t="shared" si="52"/>
        <v>0</v>
      </c>
      <c r="I1701" s="20">
        <f t="shared" si="53"/>
        <v>45536</v>
      </c>
    </row>
    <row r="1702" spans="1:9" x14ac:dyDescent="0.2">
      <c r="A1702">
        <v>2024</v>
      </c>
      <c r="B1702">
        <v>9</v>
      </c>
      <c r="C1702" t="s">
        <v>62</v>
      </c>
      <c r="D1702" t="s">
        <v>60</v>
      </c>
      <c r="E1702" t="s">
        <v>65</v>
      </c>
      <c r="F1702" s="14">
        <v>18330073</v>
      </c>
      <c r="G1702" s="14">
        <v>11456296</v>
      </c>
      <c r="H1702">
        <f t="shared" si="52"/>
        <v>1</v>
      </c>
      <c r="I1702" s="20">
        <f t="shared" si="53"/>
        <v>45536</v>
      </c>
    </row>
    <row r="1703" spans="1:9" x14ac:dyDescent="0.2">
      <c r="A1703">
        <v>2024</v>
      </c>
      <c r="B1703">
        <v>9</v>
      </c>
      <c r="C1703" t="s">
        <v>55</v>
      </c>
      <c r="D1703" t="s">
        <v>60</v>
      </c>
      <c r="E1703" t="s">
        <v>65</v>
      </c>
      <c r="F1703" s="14">
        <v>14782136</v>
      </c>
      <c r="G1703" s="14">
        <v>9238825</v>
      </c>
      <c r="H1703">
        <f t="shared" si="52"/>
        <v>1</v>
      </c>
      <c r="I1703" s="20">
        <f t="shared" si="53"/>
        <v>45536</v>
      </c>
    </row>
    <row r="1704" spans="1:9" x14ac:dyDescent="0.2">
      <c r="A1704">
        <v>2024</v>
      </c>
      <c r="B1704">
        <v>9</v>
      </c>
      <c r="C1704" t="s">
        <v>55</v>
      </c>
      <c r="D1704" t="s">
        <v>66</v>
      </c>
      <c r="E1704" t="s">
        <v>63</v>
      </c>
      <c r="F1704" s="14">
        <v>11578932</v>
      </c>
      <c r="G1704" s="14">
        <v>6811136</v>
      </c>
      <c r="H1704">
        <f t="shared" si="52"/>
        <v>0</v>
      </c>
      <c r="I1704" s="20">
        <f t="shared" si="53"/>
        <v>45536</v>
      </c>
    </row>
    <row r="1705" spans="1:9" x14ac:dyDescent="0.2">
      <c r="A1705">
        <v>2024</v>
      </c>
      <c r="B1705">
        <v>9</v>
      </c>
      <c r="C1705" t="s">
        <v>55</v>
      </c>
      <c r="D1705" t="s">
        <v>66</v>
      </c>
      <c r="E1705" t="s">
        <v>75</v>
      </c>
      <c r="F1705" s="14">
        <v>7074323</v>
      </c>
      <c r="G1705" s="14">
        <v>5053087</v>
      </c>
      <c r="H1705">
        <f t="shared" si="52"/>
        <v>0</v>
      </c>
      <c r="I1705" s="20">
        <f t="shared" si="53"/>
        <v>45536</v>
      </c>
    </row>
    <row r="1706" spans="1:9" x14ac:dyDescent="0.2">
      <c r="A1706">
        <v>2024</v>
      </c>
      <c r="B1706">
        <v>9</v>
      </c>
      <c r="C1706" t="s">
        <v>55</v>
      </c>
      <c r="D1706" t="s">
        <v>66</v>
      </c>
      <c r="E1706" t="s">
        <v>67</v>
      </c>
      <c r="F1706" s="14">
        <v>5642756</v>
      </c>
      <c r="G1706" s="14">
        <v>3761819</v>
      </c>
      <c r="H1706">
        <f t="shared" si="52"/>
        <v>0</v>
      </c>
      <c r="I1706" s="20">
        <f t="shared" si="53"/>
        <v>45536</v>
      </c>
    </row>
    <row r="1707" spans="1:9" x14ac:dyDescent="0.2">
      <c r="A1707">
        <v>2024</v>
      </c>
      <c r="B1707">
        <v>9</v>
      </c>
      <c r="C1707" t="s">
        <v>55</v>
      </c>
      <c r="D1707" t="s">
        <v>66</v>
      </c>
      <c r="E1707" t="s">
        <v>68</v>
      </c>
      <c r="F1707" s="14">
        <v>2338802</v>
      </c>
      <c r="G1707" s="14">
        <v>2338802</v>
      </c>
      <c r="H1707">
        <f t="shared" si="52"/>
        <v>0</v>
      </c>
      <c r="I1707" s="20">
        <f t="shared" si="53"/>
        <v>45536</v>
      </c>
    </row>
    <row r="1708" spans="1:9" x14ac:dyDescent="0.2">
      <c r="A1708">
        <v>2024</v>
      </c>
      <c r="B1708">
        <v>9</v>
      </c>
      <c r="C1708" t="s">
        <v>55</v>
      </c>
      <c r="D1708" t="s">
        <v>66</v>
      </c>
      <c r="E1708" t="s">
        <v>69</v>
      </c>
      <c r="F1708" s="14">
        <v>500170</v>
      </c>
      <c r="G1708" s="14">
        <v>312604</v>
      </c>
      <c r="H1708">
        <f t="shared" si="52"/>
        <v>0</v>
      </c>
      <c r="I1708" s="20">
        <f t="shared" si="53"/>
        <v>45536</v>
      </c>
    </row>
    <row r="1709" spans="1:9" x14ac:dyDescent="0.2">
      <c r="A1709">
        <v>2024</v>
      </c>
      <c r="B1709">
        <v>9</v>
      </c>
      <c r="C1709" t="s">
        <v>55</v>
      </c>
      <c r="D1709" t="s">
        <v>66</v>
      </c>
      <c r="E1709" t="s">
        <v>59</v>
      </c>
      <c r="F1709" s="14">
        <v>122167</v>
      </c>
      <c r="G1709" s="14">
        <v>122167</v>
      </c>
      <c r="H1709">
        <f t="shared" si="52"/>
        <v>0</v>
      </c>
      <c r="I1709" s="20">
        <f t="shared" si="53"/>
        <v>45536</v>
      </c>
    </row>
    <row r="1710" spans="1:9" x14ac:dyDescent="0.2">
      <c r="A1710">
        <v>2024</v>
      </c>
      <c r="B1710">
        <v>9</v>
      </c>
      <c r="C1710" t="s">
        <v>55</v>
      </c>
      <c r="D1710" t="s">
        <v>70</v>
      </c>
      <c r="E1710" t="s">
        <v>68</v>
      </c>
      <c r="F1710" s="14">
        <v>1212319482</v>
      </c>
      <c r="G1710" s="14">
        <v>1212319482</v>
      </c>
      <c r="H1710">
        <f t="shared" si="52"/>
        <v>0</v>
      </c>
      <c r="I1710" s="20">
        <f t="shared" si="53"/>
        <v>45536</v>
      </c>
    </row>
    <row r="1711" spans="1:9" x14ac:dyDescent="0.2">
      <c r="A1711">
        <v>2024</v>
      </c>
      <c r="B1711">
        <v>9</v>
      </c>
      <c r="C1711" t="s">
        <v>64</v>
      </c>
      <c r="D1711" t="s">
        <v>70</v>
      </c>
      <c r="E1711" t="s">
        <v>68</v>
      </c>
      <c r="F1711" s="14">
        <v>1172907</v>
      </c>
      <c r="G1711" s="14">
        <v>1172907</v>
      </c>
      <c r="H1711">
        <f t="shared" si="52"/>
        <v>0</v>
      </c>
      <c r="I1711" s="20">
        <f t="shared" si="53"/>
        <v>45536</v>
      </c>
    </row>
    <row r="1712" spans="1:9" x14ac:dyDescent="0.2">
      <c r="A1712">
        <v>2024</v>
      </c>
      <c r="B1712">
        <v>9</v>
      </c>
      <c r="C1712" t="s">
        <v>55</v>
      </c>
      <c r="D1712" t="s">
        <v>70</v>
      </c>
      <c r="E1712" t="s">
        <v>61</v>
      </c>
      <c r="F1712" s="14">
        <v>378922</v>
      </c>
      <c r="G1712" s="14">
        <v>252609</v>
      </c>
      <c r="H1712">
        <f t="shared" si="52"/>
        <v>0</v>
      </c>
      <c r="I1712" s="20">
        <f t="shared" si="53"/>
        <v>45536</v>
      </c>
    </row>
    <row r="1713" spans="1:9" x14ac:dyDescent="0.2">
      <c r="A1713">
        <v>2024</v>
      </c>
      <c r="B1713">
        <v>9</v>
      </c>
      <c r="C1713" t="s">
        <v>64</v>
      </c>
      <c r="D1713" t="s">
        <v>71</v>
      </c>
      <c r="E1713" t="s">
        <v>72</v>
      </c>
      <c r="F1713" s="14">
        <v>23774</v>
      </c>
      <c r="G1713" s="14">
        <v>23774</v>
      </c>
      <c r="H1713">
        <f t="shared" si="52"/>
        <v>0</v>
      </c>
      <c r="I1713" s="20">
        <f t="shared" si="53"/>
        <v>45536</v>
      </c>
    </row>
    <row r="1714" spans="1:9" x14ac:dyDescent="0.2">
      <c r="A1714">
        <v>2024</v>
      </c>
      <c r="B1714">
        <v>10</v>
      </c>
      <c r="C1714" t="s">
        <v>55</v>
      </c>
      <c r="D1714" t="s">
        <v>56</v>
      </c>
      <c r="E1714" t="s">
        <v>59</v>
      </c>
      <c r="F1714" s="14">
        <v>79101688</v>
      </c>
      <c r="G1714" s="14">
        <v>79101688</v>
      </c>
      <c r="H1714">
        <f t="shared" si="52"/>
        <v>0</v>
      </c>
      <c r="I1714" s="20">
        <f t="shared" si="53"/>
        <v>45566</v>
      </c>
    </row>
    <row r="1715" spans="1:9" x14ac:dyDescent="0.2">
      <c r="A1715">
        <v>2024</v>
      </c>
      <c r="B1715">
        <v>10</v>
      </c>
      <c r="C1715" t="s">
        <v>55</v>
      </c>
      <c r="D1715" t="s">
        <v>56</v>
      </c>
      <c r="E1715" t="s">
        <v>57</v>
      </c>
      <c r="F1715" s="14">
        <v>6214316</v>
      </c>
      <c r="G1715" s="14">
        <v>6214316</v>
      </c>
      <c r="H1715">
        <f t="shared" si="52"/>
        <v>0</v>
      </c>
      <c r="I1715" s="20">
        <f t="shared" si="53"/>
        <v>45566</v>
      </c>
    </row>
    <row r="1716" spans="1:9" x14ac:dyDescent="0.2">
      <c r="A1716">
        <v>2024</v>
      </c>
      <c r="B1716">
        <v>10</v>
      </c>
      <c r="C1716" t="s">
        <v>55</v>
      </c>
      <c r="D1716" t="s">
        <v>56</v>
      </c>
      <c r="E1716" t="s">
        <v>58</v>
      </c>
      <c r="F1716" s="14">
        <v>3735478</v>
      </c>
      <c r="G1716" s="14">
        <v>3735478</v>
      </c>
      <c r="H1716">
        <f t="shared" si="52"/>
        <v>0</v>
      </c>
      <c r="I1716" s="20">
        <f t="shared" si="53"/>
        <v>45566</v>
      </c>
    </row>
    <row r="1717" spans="1:9" x14ac:dyDescent="0.2">
      <c r="A1717">
        <v>2024</v>
      </c>
      <c r="B1717">
        <v>10</v>
      </c>
      <c r="C1717" t="s">
        <v>64</v>
      </c>
      <c r="D1717" t="s">
        <v>56</v>
      </c>
      <c r="E1717" t="s">
        <v>58</v>
      </c>
      <c r="F1717" s="14">
        <v>3422394</v>
      </c>
      <c r="G1717" s="14">
        <v>3422394</v>
      </c>
      <c r="H1717">
        <f t="shared" si="52"/>
        <v>0</v>
      </c>
      <c r="I1717" s="20">
        <f t="shared" si="53"/>
        <v>45566</v>
      </c>
    </row>
    <row r="1718" spans="1:9" x14ac:dyDescent="0.2">
      <c r="A1718">
        <v>2024</v>
      </c>
      <c r="B1718">
        <v>10</v>
      </c>
      <c r="C1718" t="s">
        <v>64</v>
      </c>
      <c r="D1718" t="s">
        <v>56</v>
      </c>
      <c r="E1718" t="s">
        <v>59</v>
      </c>
      <c r="F1718" s="14">
        <v>417385</v>
      </c>
      <c r="G1718" s="14">
        <v>417385</v>
      </c>
      <c r="H1718">
        <f t="shared" si="52"/>
        <v>0</v>
      </c>
      <c r="I1718" s="20">
        <f t="shared" si="53"/>
        <v>45566</v>
      </c>
    </row>
    <row r="1719" spans="1:9" x14ac:dyDescent="0.2">
      <c r="A1719">
        <v>2024</v>
      </c>
      <c r="B1719">
        <v>10</v>
      </c>
      <c r="C1719" t="s">
        <v>55</v>
      </c>
      <c r="D1719" t="s">
        <v>56</v>
      </c>
      <c r="E1719" t="s">
        <v>80</v>
      </c>
      <c r="F1719" s="14">
        <v>152547</v>
      </c>
      <c r="G1719" s="14">
        <v>152547</v>
      </c>
      <c r="H1719">
        <f t="shared" si="52"/>
        <v>0</v>
      </c>
      <c r="I1719" s="20">
        <f t="shared" si="53"/>
        <v>45566</v>
      </c>
    </row>
    <row r="1720" spans="1:9" x14ac:dyDescent="0.2">
      <c r="A1720">
        <v>2024</v>
      </c>
      <c r="B1720">
        <v>10</v>
      </c>
      <c r="C1720" t="s">
        <v>55</v>
      </c>
      <c r="D1720" t="s">
        <v>60</v>
      </c>
      <c r="E1720" t="s">
        <v>63</v>
      </c>
      <c r="F1720" s="14">
        <v>390311944</v>
      </c>
      <c r="G1720" s="14">
        <v>229595222</v>
      </c>
      <c r="H1720">
        <f t="shared" si="52"/>
        <v>0</v>
      </c>
      <c r="I1720" s="20">
        <f t="shared" si="53"/>
        <v>45566</v>
      </c>
    </row>
    <row r="1721" spans="1:9" x14ac:dyDescent="0.2">
      <c r="A1721">
        <v>2024</v>
      </c>
      <c r="B1721">
        <v>10</v>
      </c>
      <c r="C1721" t="s">
        <v>55</v>
      </c>
      <c r="D1721" t="s">
        <v>60</v>
      </c>
      <c r="E1721" t="s">
        <v>61</v>
      </c>
      <c r="F1721" s="14">
        <v>221395577</v>
      </c>
      <c r="G1721" s="14">
        <v>147595082</v>
      </c>
      <c r="H1721">
        <f t="shared" si="52"/>
        <v>0</v>
      </c>
      <c r="I1721" s="20">
        <f t="shared" si="53"/>
        <v>45566</v>
      </c>
    </row>
    <row r="1722" spans="1:9" x14ac:dyDescent="0.2">
      <c r="A1722">
        <v>2024</v>
      </c>
      <c r="B1722">
        <v>10</v>
      </c>
      <c r="C1722" t="s">
        <v>55</v>
      </c>
      <c r="D1722" t="s">
        <v>60</v>
      </c>
      <c r="E1722" t="s">
        <v>76</v>
      </c>
      <c r="F1722" s="14">
        <v>88529850</v>
      </c>
      <c r="G1722" s="14">
        <v>55331156</v>
      </c>
      <c r="H1722">
        <f t="shared" si="52"/>
        <v>0</v>
      </c>
      <c r="I1722" s="20">
        <f t="shared" si="53"/>
        <v>45566</v>
      </c>
    </row>
    <row r="1723" spans="1:9" x14ac:dyDescent="0.2">
      <c r="A1723">
        <v>2024</v>
      </c>
      <c r="B1723">
        <v>10</v>
      </c>
      <c r="C1723" t="s">
        <v>64</v>
      </c>
      <c r="D1723" t="s">
        <v>60</v>
      </c>
      <c r="E1723" t="s">
        <v>61</v>
      </c>
      <c r="F1723" s="14">
        <v>40399552</v>
      </c>
      <c r="G1723" s="14">
        <v>26933003</v>
      </c>
      <c r="H1723">
        <f t="shared" si="52"/>
        <v>0</v>
      </c>
      <c r="I1723" s="20">
        <f t="shared" si="53"/>
        <v>45566</v>
      </c>
    </row>
    <row r="1724" spans="1:9" x14ac:dyDescent="0.2">
      <c r="A1724">
        <v>2024</v>
      </c>
      <c r="B1724">
        <v>10</v>
      </c>
      <c r="C1724" t="s">
        <v>62</v>
      </c>
      <c r="D1724" t="s">
        <v>60</v>
      </c>
      <c r="E1724" t="s">
        <v>63</v>
      </c>
      <c r="F1724" s="14">
        <v>26202500</v>
      </c>
      <c r="G1724" s="14">
        <v>15413235</v>
      </c>
      <c r="H1724">
        <f t="shared" si="52"/>
        <v>0</v>
      </c>
      <c r="I1724" s="20">
        <f t="shared" si="53"/>
        <v>45566</v>
      </c>
    </row>
    <row r="1725" spans="1:9" x14ac:dyDescent="0.2">
      <c r="A1725">
        <v>2024</v>
      </c>
      <c r="B1725">
        <v>10</v>
      </c>
      <c r="C1725" t="s">
        <v>62</v>
      </c>
      <c r="D1725" t="s">
        <v>60</v>
      </c>
      <c r="E1725" t="s">
        <v>65</v>
      </c>
      <c r="F1725" s="14">
        <v>7808944</v>
      </c>
      <c r="G1725" s="14">
        <v>4880590</v>
      </c>
      <c r="H1725">
        <f t="shared" si="52"/>
        <v>1</v>
      </c>
      <c r="I1725" s="20">
        <f t="shared" si="53"/>
        <v>45566</v>
      </c>
    </row>
    <row r="1726" spans="1:9" x14ac:dyDescent="0.2">
      <c r="A1726">
        <v>2024</v>
      </c>
      <c r="B1726">
        <v>10</v>
      </c>
      <c r="C1726" t="s">
        <v>55</v>
      </c>
      <c r="D1726" t="s">
        <v>60</v>
      </c>
      <c r="E1726" t="s">
        <v>65</v>
      </c>
      <c r="F1726" s="14">
        <v>7017228</v>
      </c>
      <c r="G1726" s="14">
        <v>4385772</v>
      </c>
      <c r="H1726">
        <f t="shared" si="52"/>
        <v>1</v>
      </c>
      <c r="I1726" s="20">
        <f t="shared" si="53"/>
        <v>45566</v>
      </c>
    </row>
    <row r="1727" spans="1:9" x14ac:dyDescent="0.2">
      <c r="A1727">
        <v>2024</v>
      </c>
      <c r="B1727">
        <v>10</v>
      </c>
      <c r="C1727" t="s">
        <v>62</v>
      </c>
      <c r="D1727" t="s">
        <v>60</v>
      </c>
      <c r="E1727" t="s">
        <v>76</v>
      </c>
      <c r="F1727" s="14">
        <v>3385664</v>
      </c>
      <c r="G1727" s="14">
        <v>2116040</v>
      </c>
      <c r="H1727">
        <f t="shared" si="52"/>
        <v>0</v>
      </c>
      <c r="I1727" s="20">
        <f t="shared" si="53"/>
        <v>45566</v>
      </c>
    </row>
    <row r="1728" spans="1:9" x14ac:dyDescent="0.2">
      <c r="A1728">
        <v>2024</v>
      </c>
      <c r="B1728">
        <v>10</v>
      </c>
      <c r="C1728" t="s">
        <v>55</v>
      </c>
      <c r="D1728" t="s">
        <v>66</v>
      </c>
      <c r="E1728" t="s">
        <v>63</v>
      </c>
      <c r="F1728" s="14">
        <v>8689082</v>
      </c>
      <c r="G1728" s="14">
        <v>5111224</v>
      </c>
      <c r="H1728">
        <f t="shared" si="52"/>
        <v>0</v>
      </c>
      <c r="I1728" s="20">
        <f t="shared" si="53"/>
        <v>45566</v>
      </c>
    </row>
    <row r="1729" spans="1:9" x14ac:dyDescent="0.2">
      <c r="A1729">
        <v>2024</v>
      </c>
      <c r="B1729">
        <v>10</v>
      </c>
      <c r="C1729" t="s">
        <v>55</v>
      </c>
      <c r="D1729" t="s">
        <v>66</v>
      </c>
      <c r="E1729" t="s">
        <v>67</v>
      </c>
      <c r="F1729" s="14">
        <v>5814846</v>
      </c>
      <c r="G1729" s="14">
        <v>3876547</v>
      </c>
      <c r="H1729">
        <f t="shared" si="52"/>
        <v>0</v>
      </c>
      <c r="I1729" s="20">
        <f t="shared" si="53"/>
        <v>45566</v>
      </c>
    </row>
    <row r="1730" spans="1:9" x14ac:dyDescent="0.2">
      <c r="A1730">
        <v>2024</v>
      </c>
      <c r="B1730">
        <v>10</v>
      </c>
      <c r="C1730" t="s">
        <v>55</v>
      </c>
      <c r="D1730" t="s">
        <v>66</v>
      </c>
      <c r="E1730" t="s">
        <v>75</v>
      </c>
      <c r="F1730" s="14">
        <v>5675480</v>
      </c>
      <c r="G1730" s="14">
        <v>4053915</v>
      </c>
      <c r="H1730">
        <f t="shared" si="52"/>
        <v>0</v>
      </c>
      <c r="I1730" s="20">
        <f t="shared" si="53"/>
        <v>45566</v>
      </c>
    </row>
    <row r="1731" spans="1:9" x14ac:dyDescent="0.2">
      <c r="A1731">
        <v>2024</v>
      </c>
      <c r="B1731">
        <v>10</v>
      </c>
      <c r="C1731" t="s">
        <v>55</v>
      </c>
      <c r="D1731" t="s">
        <v>66</v>
      </c>
      <c r="E1731" t="s">
        <v>68</v>
      </c>
      <c r="F1731" s="14">
        <v>2350773</v>
      </c>
      <c r="G1731" s="14">
        <v>2350773</v>
      </c>
      <c r="H1731">
        <f t="shared" ref="H1731:H1794" si="54">--ISNUMBER(SEARCH("Jet Fuel",E1731))</f>
        <v>0</v>
      </c>
      <c r="I1731" s="20">
        <f t="shared" ref="I1731:I1794" si="55">DATE(A1731,B1731,1)</f>
        <v>45566</v>
      </c>
    </row>
    <row r="1732" spans="1:9" x14ac:dyDescent="0.2">
      <c r="A1732">
        <v>2024</v>
      </c>
      <c r="B1732">
        <v>10</v>
      </c>
      <c r="C1732" t="s">
        <v>55</v>
      </c>
      <c r="D1732" t="s">
        <v>66</v>
      </c>
      <c r="E1732" t="s">
        <v>59</v>
      </c>
      <c r="F1732" s="14">
        <v>126126</v>
      </c>
      <c r="G1732" s="14">
        <v>126126</v>
      </c>
      <c r="H1732">
        <f t="shared" si="54"/>
        <v>0</v>
      </c>
      <c r="I1732" s="20">
        <f t="shared" si="55"/>
        <v>45566</v>
      </c>
    </row>
    <row r="1733" spans="1:9" x14ac:dyDescent="0.2">
      <c r="A1733">
        <v>2024</v>
      </c>
      <c r="B1733">
        <v>10</v>
      </c>
      <c r="C1733" t="s">
        <v>55</v>
      </c>
      <c r="D1733" t="s">
        <v>66</v>
      </c>
      <c r="E1733" t="s">
        <v>69</v>
      </c>
      <c r="F1733" s="14">
        <v>125516</v>
      </c>
      <c r="G1733" s="14">
        <v>78448</v>
      </c>
      <c r="H1733">
        <f t="shared" si="54"/>
        <v>0</v>
      </c>
      <c r="I1733" s="20">
        <f t="shared" si="55"/>
        <v>45566</v>
      </c>
    </row>
    <row r="1734" spans="1:9" x14ac:dyDescent="0.2">
      <c r="A1734">
        <v>2024</v>
      </c>
      <c r="B1734">
        <v>10</v>
      </c>
      <c r="C1734" t="s">
        <v>55</v>
      </c>
      <c r="D1734" t="s">
        <v>70</v>
      </c>
      <c r="E1734" t="s">
        <v>68</v>
      </c>
      <c r="F1734" s="14">
        <v>1266785297</v>
      </c>
      <c r="G1734" s="14">
        <v>1266785297</v>
      </c>
      <c r="H1734">
        <f t="shared" si="54"/>
        <v>0</v>
      </c>
      <c r="I1734" s="20">
        <f t="shared" si="55"/>
        <v>45566</v>
      </c>
    </row>
    <row r="1735" spans="1:9" x14ac:dyDescent="0.2">
      <c r="A1735">
        <v>2024</v>
      </c>
      <c r="B1735">
        <v>10</v>
      </c>
      <c r="C1735" t="s">
        <v>64</v>
      </c>
      <c r="D1735" t="s">
        <v>70</v>
      </c>
      <c r="E1735" t="s">
        <v>68</v>
      </c>
      <c r="F1735" s="14">
        <v>1337021</v>
      </c>
      <c r="G1735" s="14">
        <v>1337021</v>
      </c>
      <c r="H1735">
        <f t="shared" si="54"/>
        <v>0</v>
      </c>
      <c r="I1735" s="20">
        <f t="shared" si="55"/>
        <v>45566</v>
      </c>
    </row>
    <row r="1736" spans="1:9" x14ac:dyDescent="0.2">
      <c r="A1736">
        <v>2024</v>
      </c>
      <c r="B1736">
        <v>10</v>
      </c>
      <c r="C1736" t="s">
        <v>55</v>
      </c>
      <c r="D1736" t="s">
        <v>70</v>
      </c>
      <c r="E1736" t="s">
        <v>61</v>
      </c>
      <c r="F1736" s="14">
        <v>214363</v>
      </c>
      <c r="G1736" s="14">
        <v>142902</v>
      </c>
      <c r="H1736">
        <f t="shared" si="54"/>
        <v>0</v>
      </c>
      <c r="I1736" s="20">
        <f t="shared" si="55"/>
        <v>45566</v>
      </c>
    </row>
    <row r="1737" spans="1:9" x14ac:dyDescent="0.2">
      <c r="A1737">
        <v>2024</v>
      </c>
      <c r="B1737">
        <v>11</v>
      </c>
      <c r="C1737" t="s">
        <v>55</v>
      </c>
      <c r="D1737" t="s">
        <v>56</v>
      </c>
      <c r="E1737" t="s">
        <v>59</v>
      </c>
      <c r="F1737" s="14">
        <v>79534280</v>
      </c>
      <c r="G1737" s="14">
        <v>79534280</v>
      </c>
      <c r="H1737">
        <f t="shared" si="54"/>
        <v>0</v>
      </c>
      <c r="I1737" s="20">
        <f t="shared" si="55"/>
        <v>45597</v>
      </c>
    </row>
    <row r="1738" spans="1:9" x14ac:dyDescent="0.2">
      <c r="A1738">
        <v>2024</v>
      </c>
      <c r="B1738">
        <v>11</v>
      </c>
      <c r="C1738" t="s">
        <v>55</v>
      </c>
      <c r="D1738" t="s">
        <v>56</v>
      </c>
      <c r="E1738" t="s">
        <v>57</v>
      </c>
      <c r="F1738" s="14">
        <v>6973983</v>
      </c>
      <c r="G1738" s="14">
        <v>6973983</v>
      </c>
      <c r="H1738">
        <f t="shared" si="54"/>
        <v>0</v>
      </c>
      <c r="I1738" s="20">
        <f t="shared" si="55"/>
        <v>45597</v>
      </c>
    </row>
    <row r="1739" spans="1:9" x14ac:dyDescent="0.2">
      <c r="A1739">
        <v>2024</v>
      </c>
      <c r="B1739">
        <v>11</v>
      </c>
      <c r="C1739" t="s">
        <v>55</v>
      </c>
      <c r="D1739" t="s">
        <v>56</v>
      </c>
      <c r="E1739" t="s">
        <v>58</v>
      </c>
      <c r="F1739" s="14">
        <v>6174318</v>
      </c>
      <c r="G1739" s="14">
        <v>6174318</v>
      </c>
      <c r="H1739">
        <f t="shared" si="54"/>
        <v>0</v>
      </c>
      <c r="I1739" s="20">
        <f t="shared" si="55"/>
        <v>45597</v>
      </c>
    </row>
    <row r="1740" spans="1:9" x14ac:dyDescent="0.2">
      <c r="A1740">
        <v>2024</v>
      </c>
      <c r="B1740">
        <v>11</v>
      </c>
      <c r="C1740" t="s">
        <v>64</v>
      </c>
      <c r="D1740" t="s">
        <v>56</v>
      </c>
      <c r="E1740" t="s">
        <v>58</v>
      </c>
      <c r="F1740" s="14">
        <v>1992017</v>
      </c>
      <c r="G1740" s="14">
        <v>1992017</v>
      </c>
      <c r="H1740">
        <f t="shared" si="54"/>
        <v>0</v>
      </c>
      <c r="I1740" s="20">
        <f t="shared" si="55"/>
        <v>45597</v>
      </c>
    </row>
    <row r="1741" spans="1:9" x14ac:dyDescent="0.2">
      <c r="A1741">
        <v>2024</v>
      </c>
      <c r="B1741">
        <v>11</v>
      </c>
      <c r="C1741" t="s">
        <v>64</v>
      </c>
      <c r="D1741" t="s">
        <v>56</v>
      </c>
      <c r="E1741" t="s">
        <v>59</v>
      </c>
      <c r="F1741" s="14">
        <v>1925842</v>
      </c>
      <c r="G1741" s="14">
        <v>1925842</v>
      </c>
      <c r="H1741">
        <f t="shared" si="54"/>
        <v>0</v>
      </c>
      <c r="I1741" s="20">
        <f t="shared" si="55"/>
        <v>45597</v>
      </c>
    </row>
    <row r="1742" spans="1:9" x14ac:dyDescent="0.2">
      <c r="A1742">
        <v>2024</v>
      </c>
      <c r="B1742">
        <v>11</v>
      </c>
      <c r="C1742" t="s">
        <v>55</v>
      </c>
      <c r="D1742" t="s">
        <v>56</v>
      </c>
      <c r="E1742" t="s">
        <v>80</v>
      </c>
      <c r="F1742" s="14">
        <v>912449</v>
      </c>
      <c r="G1742" s="14">
        <v>912449</v>
      </c>
      <c r="H1742">
        <f t="shared" si="54"/>
        <v>0</v>
      </c>
      <c r="I1742" s="20">
        <f t="shared" si="55"/>
        <v>45597</v>
      </c>
    </row>
    <row r="1743" spans="1:9" x14ac:dyDescent="0.2">
      <c r="A1743">
        <v>2024</v>
      </c>
      <c r="B1743">
        <v>11</v>
      </c>
      <c r="C1743" t="s">
        <v>55</v>
      </c>
      <c r="D1743" t="s">
        <v>60</v>
      </c>
      <c r="E1743" t="s">
        <v>63</v>
      </c>
      <c r="F1743" s="14">
        <v>365647559</v>
      </c>
      <c r="G1743" s="14">
        <v>215086741</v>
      </c>
      <c r="H1743">
        <f t="shared" si="54"/>
        <v>0</v>
      </c>
      <c r="I1743" s="20">
        <f t="shared" si="55"/>
        <v>45597</v>
      </c>
    </row>
    <row r="1744" spans="1:9" x14ac:dyDescent="0.2">
      <c r="A1744">
        <v>2024</v>
      </c>
      <c r="B1744">
        <v>11</v>
      </c>
      <c r="C1744" t="s">
        <v>55</v>
      </c>
      <c r="D1744" t="s">
        <v>60</v>
      </c>
      <c r="E1744" t="s">
        <v>61</v>
      </c>
      <c r="F1744" s="14">
        <v>199623505</v>
      </c>
      <c r="G1744" s="14">
        <v>133080709</v>
      </c>
      <c r="H1744">
        <f t="shared" si="54"/>
        <v>0</v>
      </c>
      <c r="I1744" s="20">
        <f t="shared" si="55"/>
        <v>45597</v>
      </c>
    </row>
    <row r="1745" spans="1:9" x14ac:dyDescent="0.2">
      <c r="A1745">
        <v>2024</v>
      </c>
      <c r="B1745">
        <v>11</v>
      </c>
      <c r="C1745" t="s">
        <v>55</v>
      </c>
      <c r="D1745" t="s">
        <v>60</v>
      </c>
      <c r="E1745" t="s">
        <v>76</v>
      </c>
      <c r="F1745" s="14">
        <v>63348884</v>
      </c>
      <c r="G1745" s="14">
        <v>39593053</v>
      </c>
      <c r="H1745">
        <f t="shared" si="54"/>
        <v>0</v>
      </c>
      <c r="I1745" s="20">
        <f t="shared" si="55"/>
        <v>45597</v>
      </c>
    </row>
    <row r="1746" spans="1:9" x14ac:dyDescent="0.2">
      <c r="A1746">
        <v>2024</v>
      </c>
      <c r="B1746">
        <v>11</v>
      </c>
      <c r="C1746" t="s">
        <v>64</v>
      </c>
      <c r="D1746" t="s">
        <v>60</v>
      </c>
      <c r="E1746" t="s">
        <v>63</v>
      </c>
      <c r="F1746" s="14">
        <v>50729608</v>
      </c>
      <c r="G1746" s="14">
        <v>29840946</v>
      </c>
      <c r="H1746">
        <f t="shared" si="54"/>
        <v>0</v>
      </c>
      <c r="I1746" s="20">
        <f t="shared" si="55"/>
        <v>45597</v>
      </c>
    </row>
    <row r="1747" spans="1:9" x14ac:dyDescent="0.2">
      <c r="A1747">
        <v>2024</v>
      </c>
      <c r="B1747">
        <v>11</v>
      </c>
      <c r="C1747" t="s">
        <v>64</v>
      </c>
      <c r="D1747" t="s">
        <v>60</v>
      </c>
      <c r="E1747" t="s">
        <v>61</v>
      </c>
      <c r="F1747" s="14">
        <v>34708028</v>
      </c>
      <c r="G1747" s="14">
        <v>23138654</v>
      </c>
      <c r="H1747">
        <f t="shared" si="54"/>
        <v>0</v>
      </c>
      <c r="I1747" s="20">
        <f t="shared" si="55"/>
        <v>45597</v>
      </c>
    </row>
    <row r="1748" spans="1:9" x14ac:dyDescent="0.2">
      <c r="A1748">
        <v>2024</v>
      </c>
      <c r="B1748">
        <v>11</v>
      </c>
      <c r="C1748" t="s">
        <v>62</v>
      </c>
      <c r="D1748" t="s">
        <v>60</v>
      </c>
      <c r="E1748" t="s">
        <v>63</v>
      </c>
      <c r="F1748" s="14">
        <v>12351944</v>
      </c>
      <c r="G1748" s="14">
        <v>7265849</v>
      </c>
      <c r="H1748">
        <f t="shared" si="54"/>
        <v>0</v>
      </c>
      <c r="I1748" s="20">
        <f t="shared" si="55"/>
        <v>45597</v>
      </c>
    </row>
    <row r="1749" spans="1:9" x14ac:dyDescent="0.2">
      <c r="A1749">
        <v>2024</v>
      </c>
      <c r="B1749">
        <v>11</v>
      </c>
      <c r="C1749" t="s">
        <v>55</v>
      </c>
      <c r="D1749" t="s">
        <v>60</v>
      </c>
      <c r="E1749" t="s">
        <v>65</v>
      </c>
      <c r="F1749" s="14">
        <v>3816680</v>
      </c>
      <c r="G1749" s="14">
        <v>2385423</v>
      </c>
      <c r="H1749">
        <f t="shared" si="54"/>
        <v>1</v>
      </c>
      <c r="I1749" s="20">
        <f t="shared" si="55"/>
        <v>45597</v>
      </c>
    </row>
    <row r="1750" spans="1:9" x14ac:dyDescent="0.2">
      <c r="A1750">
        <v>2024</v>
      </c>
      <c r="B1750">
        <v>11</v>
      </c>
      <c r="C1750" t="s">
        <v>62</v>
      </c>
      <c r="D1750" t="s">
        <v>60</v>
      </c>
      <c r="E1750" t="s">
        <v>65</v>
      </c>
      <c r="F1750" s="14">
        <v>2032466</v>
      </c>
      <c r="G1750" s="14">
        <v>1270291</v>
      </c>
      <c r="H1750">
        <f t="shared" si="54"/>
        <v>1</v>
      </c>
      <c r="I1750" s="20">
        <f t="shared" si="55"/>
        <v>45597</v>
      </c>
    </row>
    <row r="1751" spans="1:9" x14ac:dyDescent="0.2">
      <c r="A1751">
        <v>2024</v>
      </c>
      <c r="B1751">
        <v>11</v>
      </c>
      <c r="C1751" t="s">
        <v>62</v>
      </c>
      <c r="D1751" t="s">
        <v>60</v>
      </c>
      <c r="E1751" t="s">
        <v>76</v>
      </c>
      <c r="F1751" s="14">
        <v>1308288</v>
      </c>
      <c r="G1751" s="14">
        <v>817680</v>
      </c>
      <c r="H1751">
        <f t="shared" si="54"/>
        <v>0</v>
      </c>
      <c r="I1751" s="20">
        <f t="shared" si="55"/>
        <v>45597</v>
      </c>
    </row>
    <row r="1752" spans="1:9" x14ac:dyDescent="0.2">
      <c r="A1752">
        <v>2024</v>
      </c>
      <c r="B1752">
        <v>11</v>
      </c>
      <c r="C1752" t="s">
        <v>55</v>
      </c>
      <c r="D1752" t="s">
        <v>66</v>
      </c>
      <c r="E1752" t="s">
        <v>63</v>
      </c>
      <c r="F1752" s="14">
        <v>12209483</v>
      </c>
      <c r="G1752" s="14">
        <v>7182048</v>
      </c>
      <c r="H1752">
        <f t="shared" si="54"/>
        <v>0</v>
      </c>
      <c r="I1752" s="20">
        <f t="shared" si="55"/>
        <v>45597</v>
      </c>
    </row>
    <row r="1753" spans="1:9" x14ac:dyDescent="0.2">
      <c r="A1753">
        <v>2024</v>
      </c>
      <c r="B1753">
        <v>11</v>
      </c>
      <c r="C1753" t="s">
        <v>55</v>
      </c>
      <c r="D1753" t="s">
        <v>66</v>
      </c>
      <c r="E1753" t="s">
        <v>75</v>
      </c>
      <c r="F1753" s="14">
        <v>5706477</v>
      </c>
      <c r="G1753" s="14">
        <v>4076056</v>
      </c>
      <c r="H1753">
        <f t="shared" si="54"/>
        <v>0</v>
      </c>
      <c r="I1753" s="20">
        <f t="shared" si="55"/>
        <v>45597</v>
      </c>
    </row>
    <row r="1754" spans="1:9" x14ac:dyDescent="0.2">
      <c r="A1754">
        <v>2024</v>
      </c>
      <c r="B1754">
        <v>11</v>
      </c>
      <c r="C1754" t="s">
        <v>55</v>
      </c>
      <c r="D1754" t="s">
        <v>66</v>
      </c>
      <c r="E1754" t="s">
        <v>67</v>
      </c>
      <c r="F1754" s="14">
        <v>4727288</v>
      </c>
      <c r="G1754" s="14">
        <v>3151510</v>
      </c>
      <c r="H1754">
        <f t="shared" si="54"/>
        <v>0</v>
      </c>
      <c r="I1754" s="20">
        <f t="shared" si="55"/>
        <v>45597</v>
      </c>
    </row>
    <row r="1755" spans="1:9" x14ac:dyDescent="0.2">
      <c r="A1755">
        <v>2024</v>
      </c>
      <c r="B1755">
        <v>11</v>
      </c>
      <c r="C1755" t="s">
        <v>55</v>
      </c>
      <c r="D1755" t="s">
        <v>66</v>
      </c>
      <c r="E1755" t="s">
        <v>68</v>
      </c>
      <c r="F1755" s="14">
        <v>2503531</v>
      </c>
      <c r="G1755" s="14">
        <v>2503531</v>
      </c>
      <c r="H1755">
        <f t="shared" si="54"/>
        <v>0</v>
      </c>
      <c r="I1755" s="20">
        <f t="shared" si="55"/>
        <v>45597</v>
      </c>
    </row>
    <row r="1756" spans="1:9" x14ac:dyDescent="0.2">
      <c r="A1756">
        <v>2024</v>
      </c>
      <c r="B1756">
        <v>11</v>
      </c>
      <c r="C1756" t="s">
        <v>55</v>
      </c>
      <c r="D1756" t="s">
        <v>66</v>
      </c>
      <c r="E1756" t="s">
        <v>69</v>
      </c>
      <c r="F1756" s="14">
        <v>508880</v>
      </c>
      <c r="G1756" s="14">
        <v>318049</v>
      </c>
      <c r="H1756">
        <f t="shared" si="54"/>
        <v>0</v>
      </c>
      <c r="I1756" s="20">
        <f t="shared" si="55"/>
        <v>45597</v>
      </c>
    </row>
    <row r="1757" spans="1:9" x14ac:dyDescent="0.2">
      <c r="A1757">
        <v>2024</v>
      </c>
      <c r="B1757">
        <v>11</v>
      </c>
      <c r="C1757" t="s">
        <v>55</v>
      </c>
      <c r="D1757" t="s">
        <v>66</v>
      </c>
      <c r="E1757" t="s">
        <v>59</v>
      </c>
      <c r="F1757" s="14">
        <v>166766</v>
      </c>
      <c r="G1757" s="14">
        <v>166766</v>
      </c>
      <c r="H1757">
        <f t="shared" si="54"/>
        <v>0</v>
      </c>
      <c r="I1757" s="20">
        <f t="shared" si="55"/>
        <v>45597</v>
      </c>
    </row>
    <row r="1758" spans="1:9" x14ac:dyDescent="0.2">
      <c r="A1758">
        <v>2024</v>
      </c>
      <c r="B1758">
        <v>11</v>
      </c>
      <c r="C1758" t="s">
        <v>55</v>
      </c>
      <c r="D1758" t="s">
        <v>70</v>
      </c>
      <c r="E1758" t="s">
        <v>68</v>
      </c>
      <c r="F1758" s="14">
        <v>1190580606</v>
      </c>
      <c r="G1758" s="14">
        <v>1190580606</v>
      </c>
      <c r="H1758">
        <f t="shared" si="54"/>
        <v>0</v>
      </c>
      <c r="I1758" s="20">
        <f t="shared" si="55"/>
        <v>45597</v>
      </c>
    </row>
    <row r="1759" spans="1:9" x14ac:dyDescent="0.2">
      <c r="A1759">
        <v>2024</v>
      </c>
      <c r="B1759">
        <v>11</v>
      </c>
      <c r="C1759" t="s">
        <v>64</v>
      </c>
      <c r="D1759" t="s">
        <v>70</v>
      </c>
      <c r="E1759" t="s">
        <v>68</v>
      </c>
      <c r="F1759" s="14">
        <v>1118970</v>
      </c>
      <c r="G1759" s="14">
        <v>1118970</v>
      </c>
      <c r="H1759">
        <f t="shared" si="54"/>
        <v>0</v>
      </c>
      <c r="I1759" s="20">
        <f t="shared" si="55"/>
        <v>45597</v>
      </c>
    </row>
    <row r="1760" spans="1:9" x14ac:dyDescent="0.2">
      <c r="A1760">
        <v>2024</v>
      </c>
      <c r="B1760">
        <v>11</v>
      </c>
      <c r="C1760" t="s">
        <v>55</v>
      </c>
      <c r="D1760" t="s">
        <v>70</v>
      </c>
      <c r="E1760" t="s">
        <v>61</v>
      </c>
      <c r="F1760" s="14">
        <v>173721</v>
      </c>
      <c r="G1760" s="14">
        <v>115807</v>
      </c>
      <c r="H1760">
        <f t="shared" si="54"/>
        <v>0</v>
      </c>
      <c r="I1760" s="20">
        <f t="shared" si="55"/>
        <v>45597</v>
      </c>
    </row>
    <row r="1761" spans="1:9" x14ac:dyDescent="0.2">
      <c r="A1761">
        <v>2024</v>
      </c>
      <c r="B1761">
        <v>11</v>
      </c>
      <c r="C1761" t="s">
        <v>64</v>
      </c>
      <c r="D1761" t="s">
        <v>71</v>
      </c>
      <c r="E1761" t="s">
        <v>72</v>
      </c>
      <c r="F1761" s="14">
        <v>37211</v>
      </c>
      <c r="G1761" s="14">
        <v>37211</v>
      </c>
      <c r="H1761">
        <f t="shared" si="54"/>
        <v>0</v>
      </c>
      <c r="I1761" s="20">
        <f t="shared" si="55"/>
        <v>45597</v>
      </c>
    </row>
    <row r="1762" spans="1:9" x14ac:dyDescent="0.2">
      <c r="A1762">
        <v>2024</v>
      </c>
      <c r="B1762">
        <v>12</v>
      </c>
      <c r="C1762" t="s">
        <v>55</v>
      </c>
      <c r="D1762" t="s">
        <v>56</v>
      </c>
      <c r="E1762" t="s">
        <v>59</v>
      </c>
      <c r="F1762" s="14">
        <v>144686360</v>
      </c>
      <c r="G1762" s="14">
        <v>144686360</v>
      </c>
      <c r="H1762">
        <f t="shared" si="54"/>
        <v>0</v>
      </c>
      <c r="I1762" s="20">
        <f t="shared" si="55"/>
        <v>45627</v>
      </c>
    </row>
    <row r="1763" spans="1:9" x14ac:dyDescent="0.2">
      <c r="A1763">
        <v>2024</v>
      </c>
      <c r="B1763">
        <v>12</v>
      </c>
      <c r="C1763" t="s">
        <v>55</v>
      </c>
      <c r="D1763" t="s">
        <v>56</v>
      </c>
      <c r="E1763" t="s">
        <v>57</v>
      </c>
      <c r="F1763" s="14">
        <v>9427185</v>
      </c>
      <c r="G1763" s="14">
        <v>9427185</v>
      </c>
      <c r="H1763">
        <f t="shared" si="54"/>
        <v>0</v>
      </c>
      <c r="I1763" s="20">
        <f t="shared" si="55"/>
        <v>45627</v>
      </c>
    </row>
    <row r="1764" spans="1:9" x14ac:dyDescent="0.2">
      <c r="A1764">
        <v>2024</v>
      </c>
      <c r="B1764">
        <v>12</v>
      </c>
      <c r="C1764" t="s">
        <v>55</v>
      </c>
      <c r="D1764" t="s">
        <v>56</v>
      </c>
      <c r="E1764" t="s">
        <v>58</v>
      </c>
      <c r="F1764" s="14">
        <v>8917590</v>
      </c>
      <c r="G1764" s="14">
        <v>8917590</v>
      </c>
      <c r="H1764">
        <f t="shared" si="54"/>
        <v>0</v>
      </c>
      <c r="I1764" s="20">
        <f t="shared" si="55"/>
        <v>45627</v>
      </c>
    </row>
    <row r="1765" spans="1:9" x14ac:dyDescent="0.2">
      <c r="A1765">
        <v>2024</v>
      </c>
      <c r="B1765">
        <v>12</v>
      </c>
      <c r="C1765" t="s">
        <v>55</v>
      </c>
      <c r="D1765" t="s">
        <v>56</v>
      </c>
      <c r="E1765" t="s">
        <v>80</v>
      </c>
      <c r="F1765" s="14">
        <v>8748064</v>
      </c>
      <c r="G1765" s="14">
        <v>8748064</v>
      </c>
      <c r="H1765">
        <f t="shared" si="54"/>
        <v>0</v>
      </c>
      <c r="I1765" s="20">
        <f t="shared" si="55"/>
        <v>45627</v>
      </c>
    </row>
    <row r="1766" spans="1:9" x14ac:dyDescent="0.2">
      <c r="A1766">
        <v>2024</v>
      </c>
      <c r="B1766">
        <v>12</v>
      </c>
      <c r="C1766" t="s">
        <v>64</v>
      </c>
      <c r="D1766" t="s">
        <v>56</v>
      </c>
      <c r="E1766" t="s">
        <v>58</v>
      </c>
      <c r="F1766" s="14">
        <v>5622254</v>
      </c>
      <c r="G1766" s="14">
        <v>5622254</v>
      </c>
      <c r="H1766">
        <f t="shared" si="54"/>
        <v>0</v>
      </c>
      <c r="I1766" s="20">
        <f t="shared" si="55"/>
        <v>45627</v>
      </c>
    </row>
    <row r="1767" spans="1:9" x14ac:dyDescent="0.2">
      <c r="A1767">
        <v>2024</v>
      </c>
      <c r="B1767">
        <v>12</v>
      </c>
      <c r="C1767" t="s">
        <v>64</v>
      </c>
      <c r="D1767" t="s">
        <v>56</v>
      </c>
      <c r="E1767" t="s">
        <v>59</v>
      </c>
      <c r="F1767" s="14">
        <v>2200129</v>
      </c>
      <c r="G1767" s="14">
        <v>2200129</v>
      </c>
      <c r="H1767">
        <f t="shared" si="54"/>
        <v>0</v>
      </c>
      <c r="I1767" s="20">
        <f t="shared" si="55"/>
        <v>45627</v>
      </c>
    </row>
    <row r="1768" spans="1:9" x14ac:dyDescent="0.2">
      <c r="A1768">
        <v>2024</v>
      </c>
      <c r="B1768">
        <v>12</v>
      </c>
      <c r="C1768" t="s">
        <v>55</v>
      </c>
      <c r="D1768" t="s">
        <v>60</v>
      </c>
      <c r="E1768" t="s">
        <v>63</v>
      </c>
      <c r="F1768" s="14">
        <v>433409418</v>
      </c>
      <c r="G1768" s="14">
        <v>254946595</v>
      </c>
      <c r="H1768">
        <f t="shared" si="54"/>
        <v>0</v>
      </c>
      <c r="I1768" s="20">
        <f t="shared" si="55"/>
        <v>45627</v>
      </c>
    </row>
    <row r="1769" spans="1:9" x14ac:dyDescent="0.2">
      <c r="A1769">
        <v>2024</v>
      </c>
      <c r="B1769">
        <v>12</v>
      </c>
      <c r="C1769" t="s">
        <v>55</v>
      </c>
      <c r="D1769" t="s">
        <v>60</v>
      </c>
      <c r="E1769" t="s">
        <v>61</v>
      </c>
      <c r="F1769" s="14">
        <v>263986614</v>
      </c>
      <c r="G1769" s="14">
        <v>175989428</v>
      </c>
      <c r="H1769">
        <f t="shared" si="54"/>
        <v>0</v>
      </c>
      <c r="I1769" s="20">
        <f t="shared" si="55"/>
        <v>45627</v>
      </c>
    </row>
    <row r="1770" spans="1:9" x14ac:dyDescent="0.2">
      <c r="A1770">
        <v>2024</v>
      </c>
      <c r="B1770">
        <v>12</v>
      </c>
      <c r="C1770" t="s">
        <v>55</v>
      </c>
      <c r="D1770" t="s">
        <v>60</v>
      </c>
      <c r="E1770" t="s">
        <v>76</v>
      </c>
      <c r="F1770" s="14">
        <v>85595642</v>
      </c>
      <c r="G1770" s="14">
        <v>53497274</v>
      </c>
      <c r="H1770">
        <f t="shared" si="54"/>
        <v>0</v>
      </c>
      <c r="I1770" s="20">
        <f t="shared" si="55"/>
        <v>45627</v>
      </c>
    </row>
    <row r="1771" spans="1:9" x14ac:dyDescent="0.2">
      <c r="A1771">
        <v>2024</v>
      </c>
      <c r="B1771">
        <v>12</v>
      </c>
      <c r="C1771" t="s">
        <v>64</v>
      </c>
      <c r="D1771" t="s">
        <v>60</v>
      </c>
      <c r="E1771" t="s">
        <v>63</v>
      </c>
      <c r="F1771" s="14">
        <v>62147522</v>
      </c>
      <c r="G1771" s="14">
        <v>36557366</v>
      </c>
      <c r="H1771">
        <f t="shared" si="54"/>
        <v>0</v>
      </c>
      <c r="I1771" s="20">
        <f t="shared" si="55"/>
        <v>45627</v>
      </c>
    </row>
    <row r="1772" spans="1:9" x14ac:dyDescent="0.2">
      <c r="A1772">
        <v>2024</v>
      </c>
      <c r="B1772">
        <v>12</v>
      </c>
      <c r="C1772" t="s">
        <v>64</v>
      </c>
      <c r="D1772" t="s">
        <v>60</v>
      </c>
      <c r="E1772" t="s">
        <v>61</v>
      </c>
      <c r="F1772" s="14">
        <v>51576940</v>
      </c>
      <c r="G1772" s="14">
        <v>34384612</v>
      </c>
      <c r="H1772">
        <f t="shared" si="54"/>
        <v>0</v>
      </c>
      <c r="I1772" s="20">
        <f t="shared" si="55"/>
        <v>45627</v>
      </c>
    </row>
    <row r="1773" spans="1:9" x14ac:dyDescent="0.2">
      <c r="A1773">
        <v>2024</v>
      </c>
      <c r="B1773">
        <v>12</v>
      </c>
      <c r="C1773" t="s">
        <v>62</v>
      </c>
      <c r="D1773" t="s">
        <v>60</v>
      </c>
      <c r="E1773" t="s">
        <v>63</v>
      </c>
      <c r="F1773" s="14">
        <v>7202279</v>
      </c>
      <c r="G1773" s="14">
        <v>4236635</v>
      </c>
      <c r="H1773">
        <f t="shared" si="54"/>
        <v>0</v>
      </c>
      <c r="I1773" s="20">
        <f t="shared" si="55"/>
        <v>45627</v>
      </c>
    </row>
    <row r="1774" spans="1:9" x14ac:dyDescent="0.2">
      <c r="A1774">
        <v>2024</v>
      </c>
      <c r="B1774">
        <v>12</v>
      </c>
      <c r="C1774" t="s">
        <v>62</v>
      </c>
      <c r="D1774" t="s">
        <v>60</v>
      </c>
      <c r="E1774" t="s">
        <v>65</v>
      </c>
      <c r="F1774" s="14">
        <v>5445746</v>
      </c>
      <c r="G1774" s="14">
        <v>3403591</v>
      </c>
      <c r="H1774">
        <f t="shared" si="54"/>
        <v>1</v>
      </c>
      <c r="I1774" s="20">
        <f t="shared" si="55"/>
        <v>45627</v>
      </c>
    </row>
    <row r="1775" spans="1:9" x14ac:dyDescent="0.2">
      <c r="A1775">
        <v>2024</v>
      </c>
      <c r="B1775">
        <v>12</v>
      </c>
      <c r="C1775" t="s">
        <v>55</v>
      </c>
      <c r="D1775" t="s">
        <v>60</v>
      </c>
      <c r="E1775" t="s">
        <v>65</v>
      </c>
      <c r="F1775" s="14">
        <v>3466794</v>
      </c>
      <c r="G1775" s="14">
        <v>2166746</v>
      </c>
      <c r="H1775">
        <f t="shared" si="54"/>
        <v>1</v>
      </c>
      <c r="I1775" s="20">
        <f t="shared" si="55"/>
        <v>45627</v>
      </c>
    </row>
    <row r="1776" spans="1:9" x14ac:dyDescent="0.2">
      <c r="A1776">
        <v>2024</v>
      </c>
      <c r="B1776">
        <v>12</v>
      </c>
      <c r="C1776" t="s">
        <v>55</v>
      </c>
      <c r="D1776" t="s">
        <v>66</v>
      </c>
      <c r="E1776" t="s">
        <v>63</v>
      </c>
      <c r="F1776" s="14">
        <v>11037859</v>
      </c>
      <c r="G1776" s="14">
        <v>6492858</v>
      </c>
      <c r="H1776">
        <f t="shared" si="54"/>
        <v>0</v>
      </c>
      <c r="I1776" s="20">
        <f t="shared" si="55"/>
        <v>45627</v>
      </c>
    </row>
    <row r="1777" spans="1:9" x14ac:dyDescent="0.2">
      <c r="A1777">
        <v>2024</v>
      </c>
      <c r="B1777">
        <v>12</v>
      </c>
      <c r="C1777" t="s">
        <v>55</v>
      </c>
      <c r="D1777" t="s">
        <v>66</v>
      </c>
      <c r="E1777" t="s">
        <v>67</v>
      </c>
      <c r="F1777" s="14">
        <v>7366848</v>
      </c>
      <c r="G1777" s="14">
        <v>4911204</v>
      </c>
      <c r="H1777">
        <f t="shared" si="54"/>
        <v>0</v>
      </c>
      <c r="I1777" s="20">
        <f t="shared" si="55"/>
        <v>45627</v>
      </c>
    </row>
    <row r="1778" spans="1:9" x14ac:dyDescent="0.2">
      <c r="A1778">
        <v>2024</v>
      </c>
      <c r="B1778">
        <v>12</v>
      </c>
      <c r="C1778" t="s">
        <v>55</v>
      </c>
      <c r="D1778" t="s">
        <v>66</v>
      </c>
      <c r="E1778" t="s">
        <v>75</v>
      </c>
      <c r="F1778" s="14">
        <v>5469810</v>
      </c>
      <c r="G1778" s="14">
        <v>3907007</v>
      </c>
      <c r="H1778">
        <f t="shared" si="54"/>
        <v>0</v>
      </c>
      <c r="I1778" s="20">
        <f t="shared" si="55"/>
        <v>45627</v>
      </c>
    </row>
    <row r="1779" spans="1:9" x14ac:dyDescent="0.2">
      <c r="A1779">
        <v>2024</v>
      </c>
      <c r="B1779">
        <v>12</v>
      </c>
      <c r="C1779" t="s">
        <v>55</v>
      </c>
      <c r="D1779" t="s">
        <v>66</v>
      </c>
      <c r="E1779" t="s">
        <v>68</v>
      </c>
      <c r="F1779" s="14">
        <v>2764927</v>
      </c>
      <c r="G1779" s="14">
        <v>2764927</v>
      </c>
      <c r="H1779">
        <f t="shared" si="54"/>
        <v>0</v>
      </c>
      <c r="I1779" s="20">
        <f t="shared" si="55"/>
        <v>45627</v>
      </c>
    </row>
    <row r="1780" spans="1:9" x14ac:dyDescent="0.2">
      <c r="A1780">
        <v>2024</v>
      </c>
      <c r="B1780">
        <v>12</v>
      </c>
      <c r="C1780" t="s">
        <v>55</v>
      </c>
      <c r="D1780" t="s">
        <v>66</v>
      </c>
      <c r="E1780" t="s">
        <v>69</v>
      </c>
      <c r="F1780" s="14">
        <v>481371</v>
      </c>
      <c r="G1780" s="14">
        <v>300855</v>
      </c>
      <c r="H1780">
        <f t="shared" si="54"/>
        <v>0</v>
      </c>
      <c r="I1780" s="20">
        <f t="shared" si="55"/>
        <v>45627</v>
      </c>
    </row>
    <row r="1781" spans="1:9" x14ac:dyDescent="0.2">
      <c r="A1781">
        <v>2024</v>
      </c>
      <c r="B1781">
        <v>12</v>
      </c>
      <c r="C1781" t="s">
        <v>55</v>
      </c>
      <c r="D1781" t="s">
        <v>66</v>
      </c>
      <c r="E1781" t="s">
        <v>59</v>
      </c>
      <c r="F1781" s="14">
        <v>215225</v>
      </c>
      <c r="G1781" s="14">
        <v>215225</v>
      </c>
      <c r="H1781">
        <f t="shared" si="54"/>
        <v>0</v>
      </c>
      <c r="I1781" s="20">
        <f t="shared" si="55"/>
        <v>45627</v>
      </c>
    </row>
    <row r="1782" spans="1:9" x14ac:dyDescent="0.2">
      <c r="A1782">
        <v>2024</v>
      </c>
      <c r="B1782">
        <v>12</v>
      </c>
      <c r="C1782" t="s">
        <v>55</v>
      </c>
      <c r="D1782" t="s">
        <v>66</v>
      </c>
      <c r="E1782" t="s">
        <v>74</v>
      </c>
      <c r="F1782" s="14">
        <v>31748</v>
      </c>
      <c r="G1782" s="14">
        <v>28862</v>
      </c>
      <c r="H1782">
        <f t="shared" si="54"/>
        <v>0</v>
      </c>
      <c r="I1782" s="20">
        <f t="shared" si="55"/>
        <v>45627</v>
      </c>
    </row>
    <row r="1783" spans="1:9" x14ac:dyDescent="0.2">
      <c r="A1783">
        <v>2024</v>
      </c>
      <c r="B1783">
        <v>12</v>
      </c>
      <c r="C1783" t="s">
        <v>55</v>
      </c>
      <c r="D1783" t="s">
        <v>70</v>
      </c>
      <c r="E1783" t="s">
        <v>68</v>
      </c>
      <c r="F1783" s="14">
        <v>1302778516</v>
      </c>
      <c r="G1783" s="14">
        <v>1302778516</v>
      </c>
      <c r="H1783">
        <f t="shared" si="54"/>
        <v>0</v>
      </c>
      <c r="I1783" s="20">
        <f t="shared" si="55"/>
        <v>45627</v>
      </c>
    </row>
    <row r="1784" spans="1:9" x14ac:dyDescent="0.2">
      <c r="A1784">
        <v>2024</v>
      </c>
      <c r="B1784">
        <v>12</v>
      </c>
      <c r="C1784" t="s">
        <v>64</v>
      </c>
      <c r="D1784" t="s">
        <v>70</v>
      </c>
      <c r="E1784" t="s">
        <v>68</v>
      </c>
      <c r="F1784" s="14">
        <v>1210839</v>
      </c>
      <c r="G1784" s="14">
        <v>1210839</v>
      </c>
      <c r="H1784">
        <f t="shared" si="54"/>
        <v>0</v>
      </c>
      <c r="I1784" s="20">
        <f t="shared" si="55"/>
        <v>45627</v>
      </c>
    </row>
    <row r="1785" spans="1:9" x14ac:dyDescent="0.2">
      <c r="A1785">
        <v>2024</v>
      </c>
      <c r="B1785">
        <v>12</v>
      </c>
      <c r="C1785" t="s">
        <v>55</v>
      </c>
      <c r="D1785" t="s">
        <v>70</v>
      </c>
      <c r="E1785" t="s">
        <v>61</v>
      </c>
      <c r="F1785" s="14">
        <v>301667</v>
      </c>
      <c r="G1785" s="14">
        <v>201107</v>
      </c>
      <c r="H1785">
        <f t="shared" si="54"/>
        <v>0</v>
      </c>
      <c r="I1785" s="20">
        <f t="shared" si="55"/>
        <v>45627</v>
      </c>
    </row>
    <row r="1786" spans="1:9" x14ac:dyDescent="0.2">
      <c r="A1786">
        <v>2024</v>
      </c>
      <c r="B1786">
        <v>12</v>
      </c>
      <c r="C1786" t="s">
        <v>64</v>
      </c>
      <c r="D1786" t="s">
        <v>71</v>
      </c>
      <c r="E1786" t="s">
        <v>72</v>
      </c>
      <c r="F1786" s="14">
        <v>18084</v>
      </c>
      <c r="G1786" s="14">
        <v>18084</v>
      </c>
      <c r="H1786">
        <f t="shared" si="54"/>
        <v>0</v>
      </c>
      <c r="I1786" s="20">
        <f t="shared" si="55"/>
        <v>45627</v>
      </c>
    </row>
    <row r="1787" spans="1:9" x14ac:dyDescent="0.2">
      <c r="A1787">
        <v>2025</v>
      </c>
      <c r="B1787">
        <v>1</v>
      </c>
      <c r="C1787" t="s">
        <v>55</v>
      </c>
      <c r="D1787" t="s">
        <v>56</v>
      </c>
      <c r="E1787" t="s">
        <v>80</v>
      </c>
      <c r="F1787" s="14">
        <v>71256904</v>
      </c>
      <c r="G1787" s="14">
        <v>71256904</v>
      </c>
      <c r="H1787">
        <f t="shared" si="54"/>
        <v>0</v>
      </c>
      <c r="I1787" s="20">
        <f t="shared" si="55"/>
        <v>45658</v>
      </c>
    </row>
    <row r="1788" spans="1:9" x14ac:dyDescent="0.2">
      <c r="A1788">
        <v>2025</v>
      </c>
      <c r="B1788">
        <v>1</v>
      </c>
      <c r="C1788" t="s">
        <v>55</v>
      </c>
      <c r="D1788" t="s">
        <v>56</v>
      </c>
      <c r="E1788" t="s">
        <v>57</v>
      </c>
      <c r="F1788" s="14">
        <v>7329992</v>
      </c>
      <c r="G1788" s="14">
        <v>7329992</v>
      </c>
      <c r="H1788">
        <f t="shared" si="54"/>
        <v>0</v>
      </c>
      <c r="I1788" s="20">
        <f t="shared" si="55"/>
        <v>45658</v>
      </c>
    </row>
    <row r="1789" spans="1:9" x14ac:dyDescent="0.2">
      <c r="A1789">
        <v>2025</v>
      </c>
      <c r="B1789">
        <v>1</v>
      </c>
      <c r="C1789" t="s">
        <v>64</v>
      </c>
      <c r="D1789" t="s">
        <v>56</v>
      </c>
      <c r="E1789" t="s">
        <v>80</v>
      </c>
      <c r="F1789" s="14">
        <v>3941770</v>
      </c>
      <c r="G1789" s="14">
        <v>3941770</v>
      </c>
      <c r="H1789">
        <f t="shared" si="54"/>
        <v>0</v>
      </c>
      <c r="I1789" s="20">
        <f t="shared" si="55"/>
        <v>45658</v>
      </c>
    </row>
    <row r="1790" spans="1:9" x14ac:dyDescent="0.2">
      <c r="A1790">
        <v>2025</v>
      </c>
      <c r="B1790">
        <v>1</v>
      </c>
      <c r="C1790" t="s">
        <v>55</v>
      </c>
      <c r="D1790" t="s">
        <v>56</v>
      </c>
      <c r="E1790" t="s">
        <v>59</v>
      </c>
      <c r="F1790" s="14">
        <v>1133947</v>
      </c>
      <c r="G1790" s="14">
        <v>1133947</v>
      </c>
      <c r="H1790">
        <f t="shared" si="54"/>
        <v>0</v>
      </c>
      <c r="I1790" s="20">
        <f t="shared" si="55"/>
        <v>45658</v>
      </c>
    </row>
    <row r="1791" spans="1:9" x14ac:dyDescent="0.2">
      <c r="A1791">
        <v>2025</v>
      </c>
      <c r="B1791">
        <v>1</v>
      </c>
      <c r="C1791" t="s">
        <v>55</v>
      </c>
      <c r="D1791" t="s">
        <v>56</v>
      </c>
      <c r="E1791" t="s">
        <v>81</v>
      </c>
      <c r="F1791" s="14">
        <v>35229</v>
      </c>
      <c r="G1791" s="14">
        <v>35229</v>
      </c>
      <c r="H1791">
        <f t="shared" si="54"/>
        <v>0</v>
      </c>
      <c r="I1791" s="20">
        <f t="shared" si="55"/>
        <v>45658</v>
      </c>
    </row>
    <row r="1792" spans="1:9" x14ac:dyDescent="0.2">
      <c r="A1792">
        <v>2025</v>
      </c>
      <c r="B1792">
        <v>1</v>
      </c>
      <c r="C1792" t="s">
        <v>55</v>
      </c>
      <c r="D1792" t="s">
        <v>60</v>
      </c>
      <c r="E1792" t="s">
        <v>63</v>
      </c>
      <c r="F1792" s="14">
        <v>299154116</v>
      </c>
      <c r="G1792" s="14">
        <v>175972971</v>
      </c>
      <c r="H1792">
        <f t="shared" si="54"/>
        <v>0</v>
      </c>
      <c r="I1792" s="20">
        <f t="shared" si="55"/>
        <v>45658</v>
      </c>
    </row>
    <row r="1793" spans="1:9" x14ac:dyDescent="0.2">
      <c r="A1793">
        <v>2025</v>
      </c>
      <c r="B1793">
        <v>1</v>
      </c>
      <c r="C1793" t="s">
        <v>55</v>
      </c>
      <c r="D1793" t="s">
        <v>60</v>
      </c>
      <c r="E1793" t="s">
        <v>61</v>
      </c>
      <c r="F1793" s="14">
        <v>99808691</v>
      </c>
      <c r="G1793" s="14">
        <v>66538409</v>
      </c>
      <c r="H1793">
        <f t="shared" si="54"/>
        <v>0</v>
      </c>
      <c r="I1793" s="20">
        <f t="shared" si="55"/>
        <v>45658</v>
      </c>
    </row>
    <row r="1794" spans="1:9" x14ac:dyDescent="0.2">
      <c r="A1794">
        <v>2025</v>
      </c>
      <c r="B1794">
        <v>1</v>
      </c>
      <c r="C1794" t="s">
        <v>55</v>
      </c>
      <c r="D1794" t="s">
        <v>60</v>
      </c>
      <c r="E1794" t="s">
        <v>76</v>
      </c>
      <c r="F1794" s="14">
        <v>57733666</v>
      </c>
      <c r="G1794" s="14">
        <v>36083540</v>
      </c>
      <c r="H1794">
        <f t="shared" si="54"/>
        <v>0</v>
      </c>
      <c r="I1794" s="20">
        <f t="shared" si="55"/>
        <v>45658</v>
      </c>
    </row>
    <row r="1795" spans="1:9" x14ac:dyDescent="0.2">
      <c r="A1795">
        <v>2025</v>
      </c>
      <c r="B1795">
        <v>1</v>
      </c>
      <c r="C1795" t="s">
        <v>55</v>
      </c>
      <c r="D1795" t="s">
        <v>60</v>
      </c>
      <c r="E1795" t="s">
        <v>65</v>
      </c>
      <c r="F1795" s="14">
        <v>13566162</v>
      </c>
      <c r="G1795" s="14">
        <v>8478849</v>
      </c>
      <c r="H1795">
        <f t="shared" ref="H1795:H1858" si="56">--ISNUMBER(SEARCH("Jet Fuel",E1795))</f>
        <v>1</v>
      </c>
      <c r="I1795" s="20">
        <f t="shared" ref="I1795:I1858" si="57">DATE(A1795,B1795,1)</f>
        <v>45658</v>
      </c>
    </row>
    <row r="1796" spans="1:9" x14ac:dyDescent="0.2">
      <c r="A1796">
        <v>2025</v>
      </c>
      <c r="B1796">
        <v>1</v>
      </c>
      <c r="C1796" t="s">
        <v>62</v>
      </c>
      <c r="D1796" t="s">
        <v>60</v>
      </c>
      <c r="E1796" t="s">
        <v>65</v>
      </c>
      <c r="F1796" s="14">
        <v>12635529</v>
      </c>
      <c r="G1796" s="14">
        <v>7897206</v>
      </c>
      <c r="H1796">
        <f t="shared" si="56"/>
        <v>1</v>
      </c>
      <c r="I1796" s="20">
        <f t="shared" si="57"/>
        <v>45658</v>
      </c>
    </row>
    <row r="1797" spans="1:9" x14ac:dyDescent="0.2">
      <c r="A1797">
        <v>2025</v>
      </c>
      <c r="B1797">
        <v>1</v>
      </c>
      <c r="C1797" t="s">
        <v>64</v>
      </c>
      <c r="D1797" t="s">
        <v>60</v>
      </c>
      <c r="E1797" t="s">
        <v>61</v>
      </c>
      <c r="F1797" s="14">
        <v>4703045</v>
      </c>
      <c r="G1797" s="14">
        <v>3135355</v>
      </c>
      <c r="H1797">
        <f t="shared" si="56"/>
        <v>0</v>
      </c>
      <c r="I1797" s="20">
        <f t="shared" si="57"/>
        <v>45658</v>
      </c>
    </row>
    <row r="1798" spans="1:9" x14ac:dyDescent="0.2">
      <c r="A1798">
        <v>2025</v>
      </c>
      <c r="B1798">
        <v>1</v>
      </c>
      <c r="C1798" t="s">
        <v>55</v>
      </c>
      <c r="D1798" t="s">
        <v>66</v>
      </c>
      <c r="E1798" t="s">
        <v>63</v>
      </c>
      <c r="F1798" s="14">
        <v>9207214</v>
      </c>
      <c r="G1798" s="14">
        <v>5416008</v>
      </c>
      <c r="H1798">
        <f t="shared" si="56"/>
        <v>0</v>
      </c>
      <c r="I1798" s="20">
        <f t="shared" si="57"/>
        <v>45658</v>
      </c>
    </row>
    <row r="1799" spans="1:9" x14ac:dyDescent="0.2">
      <c r="A1799">
        <v>2025</v>
      </c>
      <c r="B1799">
        <v>1</v>
      </c>
      <c r="C1799" t="s">
        <v>55</v>
      </c>
      <c r="D1799" t="s">
        <v>66</v>
      </c>
      <c r="E1799" t="s">
        <v>75</v>
      </c>
      <c r="F1799" s="14">
        <v>7984111</v>
      </c>
      <c r="G1799" s="14">
        <v>5702936</v>
      </c>
      <c r="H1799">
        <f t="shared" si="56"/>
        <v>0</v>
      </c>
      <c r="I1799" s="20">
        <f t="shared" si="57"/>
        <v>45658</v>
      </c>
    </row>
    <row r="1800" spans="1:9" x14ac:dyDescent="0.2">
      <c r="A1800">
        <v>2025</v>
      </c>
      <c r="B1800">
        <v>1</v>
      </c>
      <c r="C1800" t="s">
        <v>55</v>
      </c>
      <c r="D1800" t="s">
        <v>66</v>
      </c>
      <c r="E1800" t="s">
        <v>67</v>
      </c>
      <c r="F1800" s="14">
        <v>3498582</v>
      </c>
      <c r="G1800" s="14">
        <v>2332379</v>
      </c>
      <c r="H1800">
        <f t="shared" si="56"/>
        <v>0</v>
      </c>
      <c r="I1800" s="20">
        <f t="shared" si="57"/>
        <v>45658</v>
      </c>
    </row>
    <row r="1801" spans="1:9" x14ac:dyDescent="0.2">
      <c r="A1801">
        <v>2025</v>
      </c>
      <c r="B1801">
        <v>1</v>
      </c>
      <c r="C1801" t="s">
        <v>55</v>
      </c>
      <c r="D1801" t="s">
        <v>66</v>
      </c>
      <c r="E1801" t="s">
        <v>68</v>
      </c>
      <c r="F1801" s="14">
        <v>2317112</v>
      </c>
      <c r="G1801" s="14">
        <v>2317112</v>
      </c>
      <c r="H1801">
        <f t="shared" si="56"/>
        <v>0</v>
      </c>
      <c r="I1801" s="20">
        <f t="shared" si="57"/>
        <v>45658</v>
      </c>
    </row>
    <row r="1802" spans="1:9" x14ac:dyDescent="0.2">
      <c r="A1802">
        <v>2025</v>
      </c>
      <c r="B1802">
        <v>1</v>
      </c>
      <c r="C1802" t="s">
        <v>55</v>
      </c>
      <c r="D1802" t="s">
        <v>66</v>
      </c>
      <c r="E1802" t="s">
        <v>69</v>
      </c>
      <c r="F1802" s="14">
        <v>337767</v>
      </c>
      <c r="G1802" s="14">
        <v>211105</v>
      </c>
      <c r="H1802">
        <f t="shared" si="56"/>
        <v>0</v>
      </c>
      <c r="I1802" s="20">
        <f t="shared" si="57"/>
        <v>45658</v>
      </c>
    </row>
    <row r="1803" spans="1:9" x14ac:dyDescent="0.2">
      <c r="A1803">
        <v>2025</v>
      </c>
      <c r="B1803">
        <v>1</v>
      </c>
      <c r="C1803" t="s">
        <v>55</v>
      </c>
      <c r="D1803" t="s">
        <v>66</v>
      </c>
      <c r="E1803" t="s">
        <v>80</v>
      </c>
      <c r="F1803" s="14">
        <v>21107</v>
      </c>
      <c r="G1803" s="14">
        <v>21107</v>
      </c>
      <c r="H1803">
        <f t="shared" si="56"/>
        <v>0</v>
      </c>
      <c r="I1803" s="20">
        <f t="shared" si="57"/>
        <v>45658</v>
      </c>
    </row>
    <row r="1804" spans="1:9" x14ac:dyDescent="0.2">
      <c r="A1804">
        <v>2025</v>
      </c>
      <c r="B1804">
        <v>1</v>
      </c>
      <c r="C1804" t="s">
        <v>55</v>
      </c>
      <c r="D1804" t="s">
        <v>66</v>
      </c>
      <c r="E1804" t="s">
        <v>59</v>
      </c>
      <c r="F1804" s="14">
        <v>14085</v>
      </c>
      <c r="G1804" s="14">
        <v>14085</v>
      </c>
      <c r="H1804">
        <f t="shared" si="56"/>
        <v>0</v>
      </c>
      <c r="I1804" s="20">
        <f t="shared" si="57"/>
        <v>45658</v>
      </c>
    </row>
    <row r="1805" spans="1:9" x14ac:dyDescent="0.2">
      <c r="A1805">
        <v>2025</v>
      </c>
      <c r="B1805">
        <v>1</v>
      </c>
      <c r="C1805" t="s">
        <v>55</v>
      </c>
      <c r="D1805" t="s">
        <v>66</v>
      </c>
      <c r="E1805" t="s">
        <v>81</v>
      </c>
      <c r="F1805" s="14">
        <v>6665</v>
      </c>
      <c r="G1805" s="14">
        <v>6665</v>
      </c>
      <c r="H1805">
        <f t="shared" si="56"/>
        <v>0</v>
      </c>
      <c r="I1805" s="20">
        <f t="shared" si="57"/>
        <v>45658</v>
      </c>
    </row>
    <row r="1806" spans="1:9" x14ac:dyDescent="0.2">
      <c r="A1806">
        <v>2025</v>
      </c>
      <c r="B1806">
        <v>1</v>
      </c>
      <c r="C1806" t="s">
        <v>55</v>
      </c>
      <c r="D1806" t="s">
        <v>70</v>
      </c>
      <c r="E1806" t="s">
        <v>68</v>
      </c>
      <c r="F1806" s="14">
        <v>1244139043</v>
      </c>
      <c r="G1806" s="14">
        <v>1244139043</v>
      </c>
      <c r="H1806">
        <f t="shared" si="56"/>
        <v>0</v>
      </c>
      <c r="I1806" s="20">
        <f t="shared" si="57"/>
        <v>45658</v>
      </c>
    </row>
    <row r="1807" spans="1:9" x14ac:dyDescent="0.2">
      <c r="A1807">
        <v>2025</v>
      </c>
      <c r="B1807">
        <v>1</v>
      </c>
      <c r="C1807" t="s">
        <v>64</v>
      </c>
      <c r="D1807" t="s">
        <v>70</v>
      </c>
      <c r="E1807" t="s">
        <v>68</v>
      </c>
      <c r="F1807" s="14">
        <v>1267752</v>
      </c>
      <c r="G1807" s="14">
        <v>1267752</v>
      </c>
      <c r="H1807">
        <f t="shared" si="56"/>
        <v>0</v>
      </c>
      <c r="I1807" s="20">
        <f t="shared" si="57"/>
        <v>45658</v>
      </c>
    </row>
    <row r="1808" spans="1:9" x14ac:dyDescent="0.2">
      <c r="A1808">
        <v>2025</v>
      </c>
      <c r="B1808">
        <v>1</v>
      </c>
      <c r="C1808" t="s">
        <v>64</v>
      </c>
      <c r="D1808" t="s">
        <v>71</v>
      </c>
      <c r="E1808" t="s">
        <v>72</v>
      </c>
      <c r="F1808" s="14">
        <v>28782</v>
      </c>
      <c r="G1808" s="14">
        <v>28782</v>
      </c>
      <c r="H1808">
        <f t="shared" si="56"/>
        <v>0</v>
      </c>
      <c r="I1808" s="20">
        <f t="shared" si="57"/>
        <v>45658</v>
      </c>
    </row>
    <row r="1809" spans="1:9" x14ac:dyDescent="0.2">
      <c r="A1809">
        <v>2025</v>
      </c>
      <c r="B1809">
        <v>2</v>
      </c>
      <c r="C1809" t="s">
        <v>55</v>
      </c>
      <c r="D1809" t="s">
        <v>56</v>
      </c>
      <c r="E1809" t="s">
        <v>80</v>
      </c>
      <c r="F1809" s="14">
        <v>72829124</v>
      </c>
      <c r="G1809" s="14">
        <v>72829124</v>
      </c>
      <c r="H1809">
        <f t="shared" si="56"/>
        <v>0</v>
      </c>
      <c r="I1809" s="20">
        <f t="shared" si="57"/>
        <v>45689</v>
      </c>
    </row>
    <row r="1810" spans="1:9" x14ac:dyDescent="0.2">
      <c r="A1810">
        <v>2025</v>
      </c>
      <c r="B1810">
        <v>2</v>
      </c>
      <c r="C1810" t="s">
        <v>55</v>
      </c>
      <c r="D1810" t="s">
        <v>56</v>
      </c>
      <c r="E1810" t="s">
        <v>57</v>
      </c>
      <c r="F1810" s="14">
        <v>6279631</v>
      </c>
      <c r="G1810" s="14">
        <v>6279631</v>
      </c>
      <c r="H1810">
        <f t="shared" si="56"/>
        <v>0</v>
      </c>
      <c r="I1810" s="20">
        <f t="shared" si="57"/>
        <v>45689</v>
      </c>
    </row>
    <row r="1811" spans="1:9" x14ac:dyDescent="0.2">
      <c r="A1811">
        <v>2025</v>
      </c>
      <c r="B1811">
        <v>2</v>
      </c>
      <c r="C1811" t="s">
        <v>64</v>
      </c>
      <c r="D1811" t="s">
        <v>56</v>
      </c>
      <c r="E1811" t="s">
        <v>80</v>
      </c>
      <c r="F1811" s="14">
        <v>3423598</v>
      </c>
      <c r="G1811" s="14">
        <v>3423598</v>
      </c>
      <c r="H1811">
        <f t="shared" si="56"/>
        <v>0</v>
      </c>
      <c r="I1811" s="20">
        <f t="shared" si="57"/>
        <v>45689</v>
      </c>
    </row>
    <row r="1812" spans="1:9" x14ac:dyDescent="0.2">
      <c r="A1812">
        <v>2025</v>
      </c>
      <c r="B1812">
        <v>2</v>
      </c>
      <c r="C1812" t="s">
        <v>55</v>
      </c>
      <c r="D1812" t="s">
        <v>56</v>
      </c>
      <c r="E1812" t="s">
        <v>59</v>
      </c>
      <c r="F1812" s="14">
        <v>744454</v>
      </c>
      <c r="G1812" s="14">
        <v>744454</v>
      </c>
      <c r="H1812">
        <f t="shared" si="56"/>
        <v>0</v>
      </c>
      <c r="I1812" s="20">
        <f t="shared" si="57"/>
        <v>45689</v>
      </c>
    </row>
    <row r="1813" spans="1:9" x14ac:dyDescent="0.2">
      <c r="A1813">
        <v>2025</v>
      </c>
      <c r="B1813">
        <v>2</v>
      </c>
      <c r="C1813" t="s">
        <v>55</v>
      </c>
      <c r="D1813" t="s">
        <v>56</v>
      </c>
      <c r="E1813" t="s">
        <v>81</v>
      </c>
      <c r="F1813" s="14">
        <v>36407</v>
      </c>
      <c r="G1813" s="14">
        <v>36407</v>
      </c>
      <c r="H1813">
        <f t="shared" si="56"/>
        <v>0</v>
      </c>
      <c r="I1813" s="20">
        <f t="shared" si="57"/>
        <v>45689</v>
      </c>
    </row>
    <row r="1814" spans="1:9" x14ac:dyDescent="0.2">
      <c r="A1814">
        <v>2025</v>
      </c>
      <c r="B1814">
        <v>2</v>
      </c>
      <c r="C1814" t="s">
        <v>55</v>
      </c>
      <c r="D1814" t="s">
        <v>60</v>
      </c>
      <c r="E1814" t="s">
        <v>63</v>
      </c>
      <c r="F1814" s="14">
        <v>245152888</v>
      </c>
      <c r="G1814" s="14">
        <v>144207527</v>
      </c>
      <c r="H1814">
        <f t="shared" si="56"/>
        <v>0</v>
      </c>
      <c r="I1814" s="20">
        <f t="shared" si="57"/>
        <v>45689</v>
      </c>
    </row>
    <row r="1815" spans="1:9" x14ac:dyDescent="0.2">
      <c r="A1815">
        <v>2025</v>
      </c>
      <c r="B1815">
        <v>2</v>
      </c>
      <c r="C1815" t="s">
        <v>55</v>
      </c>
      <c r="D1815" t="s">
        <v>60</v>
      </c>
      <c r="E1815" t="s">
        <v>61</v>
      </c>
      <c r="F1815" s="14">
        <v>110583970</v>
      </c>
      <c r="G1815" s="14">
        <v>73721896</v>
      </c>
      <c r="H1815">
        <f t="shared" si="56"/>
        <v>0</v>
      </c>
      <c r="I1815" s="20">
        <f t="shared" si="57"/>
        <v>45689</v>
      </c>
    </row>
    <row r="1816" spans="1:9" x14ac:dyDescent="0.2">
      <c r="A1816">
        <v>2025</v>
      </c>
      <c r="B1816">
        <v>2</v>
      </c>
      <c r="C1816" t="s">
        <v>55</v>
      </c>
      <c r="D1816" t="s">
        <v>60</v>
      </c>
      <c r="E1816" t="s">
        <v>76</v>
      </c>
      <c r="F1816" s="14">
        <v>60101565</v>
      </c>
      <c r="G1816" s="14">
        <v>37563478</v>
      </c>
      <c r="H1816">
        <f t="shared" si="56"/>
        <v>0</v>
      </c>
      <c r="I1816" s="20">
        <f t="shared" si="57"/>
        <v>45689</v>
      </c>
    </row>
    <row r="1817" spans="1:9" x14ac:dyDescent="0.2">
      <c r="A1817">
        <v>2025</v>
      </c>
      <c r="B1817">
        <v>2</v>
      </c>
      <c r="C1817" t="s">
        <v>55</v>
      </c>
      <c r="D1817" t="s">
        <v>60</v>
      </c>
      <c r="E1817" t="s">
        <v>65</v>
      </c>
      <c r="F1817" s="14">
        <v>25164991</v>
      </c>
      <c r="G1817" s="14">
        <v>15728119</v>
      </c>
      <c r="H1817">
        <f t="shared" si="56"/>
        <v>1</v>
      </c>
      <c r="I1817" s="20">
        <f t="shared" si="57"/>
        <v>45689</v>
      </c>
    </row>
    <row r="1818" spans="1:9" x14ac:dyDescent="0.2">
      <c r="A1818">
        <v>2025</v>
      </c>
      <c r="B1818">
        <v>2</v>
      </c>
      <c r="C1818" t="s">
        <v>64</v>
      </c>
      <c r="D1818" t="s">
        <v>60</v>
      </c>
      <c r="E1818" t="s">
        <v>61</v>
      </c>
      <c r="F1818" s="14">
        <v>9613679</v>
      </c>
      <c r="G1818" s="14">
        <v>6409113</v>
      </c>
      <c r="H1818">
        <f t="shared" si="56"/>
        <v>0</v>
      </c>
      <c r="I1818" s="20">
        <f t="shared" si="57"/>
        <v>45689</v>
      </c>
    </row>
    <row r="1819" spans="1:9" x14ac:dyDescent="0.2">
      <c r="A1819">
        <v>2025</v>
      </c>
      <c r="B1819">
        <v>2</v>
      </c>
      <c r="C1819" t="s">
        <v>55</v>
      </c>
      <c r="D1819" t="s">
        <v>66</v>
      </c>
      <c r="E1819" t="s">
        <v>75</v>
      </c>
      <c r="F1819" s="14">
        <v>10364557</v>
      </c>
      <c r="G1819" s="14">
        <v>7403256</v>
      </c>
      <c r="H1819">
        <f t="shared" si="56"/>
        <v>0</v>
      </c>
      <c r="I1819" s="20">
        <f t="shared" si="57"/>
        <v>45689</v>
      </c>
    </row>
    <row r="1820" spans="1:9" x14ac:dyDescent="0.2">
      <c r="A1820">
        <v>2025</v>
      </c>
      <c r="B1820">
        <v>2</v>
      </c>
      <c r="C1820" t="s">
        <v>55</v>
      </c>
      <c r="D1820" t="s">
        <v>66</v>
      </c>
      <c r="E1820" t="s">
        <v>63</v>
      </c>
      <c r="F1820" s="14">
        <v>8201944</v>
      </c>
      <c r="G1820" s="14">
        <v>4824673</v>
      </c>
      <c r="H1820">
        <f t="shared" si="56"/>
        <v>0</v>
      </c>
      <c r="I1820" s="20">
        <f t="shared" si="57"/>
        <v>45689</v>
      </c>
    </row>
    <row r="1821" spans="1:9" x14ac:dyDescent="0.2">
      <c r="A1821">
        <v>2025</v>
      </c>
      <c r="B1821">
        <v>2</v>
      </c>
      <c r="C1821" t="s">
        <v>55</v>
      </c>
      <c r="D1821" t="s">
        <v>66</v>
      </c>
      <c r="E1821" t="s">
        <v>67</v>
      </c>
      <c r="F1821" s="14">
        <v>3626528</v>
      </c>
      <c r="G1821" s="14">
        <v>2417672</v>
      </c>
      <c r="H1821">
        <f t="shared" si="56"/>
        <v>0</v>
      </c>
      <c r="I1821" s="20">
        <f t="shared" si="57"/>
        <v>45689</v>
      </c>
    </row>
    <row r="1822" spans="1:9" x14ac:dyDescent="0.2">
      <c r="A1822">
        <v>2025</v>
      </c>
      <c r="B1822">
        <v>2</v>
      </c>
      <c r="C1822" t="s">
        <v>55</v>
      </c>
      <c r="D1822" t="s">
        <v>66</v>
      </c>
      <c r="E1822" t="s">
        <v>68</v>
      </c>
      <c r="F1822" s="14">
        <v>2100498</v>
      </c>
      <c r="G1822" s="14">
        <v>2100498</v>
      </c>
      <c r="H1822">
        <f t="shared" si="56"/>
        <v>0</v>
      </c>
      <c r="I1822" s="20">
        <f t="shared" si="57"/>
        <v>45689</v>
      </c>
    </row>
    <row r="1823" spans="1:9" x14ac:dyDescent="0.2">
      <c r="A1823">
        <v>2025</v>
      </c>
      <c r="B1823">
        <v>2</v>
      </c>
      <c r="C1823" t="s">
        <v>55</v>
      </c>
      <c r="D1823" t="s">
        <v>66</v>
      </c>
      <c r="E1823" t="s">
        <v>69</v>
      </c>
      <c r="F1823" s="14">
        <v>112984</v>
      </c>
      <c r="G1823" s="14">
        <v>70616</v>
      </c>
      <c r="H1823">
        <f t="shared" si="56"/>
        <v>0</v>
      </c>
      <c r="I1823" s="20">
        <f t="shared" si="57"/>
        <v>45689</v>
      </c>
    </row>
    <row r="1824" spans="1:9" x14ac:dyDescent="0.2">
      <c r="A1824">
        <v>2025</v>
      </c>
      <c r="B1824">
        <v>2</v>
      </c>
      <c r="C1824" t="s">
        <v>55</v>
      </c>
      <c r="D1824" t="s">
        <v>66</v>
      </c>
      <c r="E1824" t="s">
        <v>81</v>
      </c>
      <c r="F1824" s="14">
        <v>62933</v>
      </c>
      <c r="G1824" s="14">
        <v>62933</v>
      </c>
      <c r="H1824">
        <f t="shared" si="56"/>
        <v>0</v>
      </c>
      <c r="I1824" s="20">
        <f t="shared" si="57"/>
        <v>45689</v>
      </c>
    </row>
    <row r="1825" spans="1:9" x14ac:dyDescent="0.2">
      <c r="A1825">
        <v>2025</v>
      </c>
      <c r="B1825">
        <v>2</v>
      </c>
      <c r="C1825" t="s">
        <v>55</v>
      </c>
      <c r="D1825" t="s">
        <v>66</v>
      </c>
      <c r="E1825" t="s">
        <v>80</v>
      </c>
      <c r="F1825" s="14">
        <v>27421</v>
      </c>
      <c r="G1825" s="14">
        <v>27421</v>
      </c>
      <c r="H1825">
        <f t="shared" si="56"/>
        <v>0</v>
      </c>
      <c r="I1825" s="20">
        <f t="shared" si="57"/>
        <v>45689</v>
      </c>
    </row>
    <row r="1826" spans="1:9" x14ac:dyDescent="0.2">
      <c r="A1826">
        <v>2025</v>
      </c>
      <c r="B1826">
        <v>2</v>
      </c>
      <c r="C1826" t="s">
        <v>55</v>
      </c>
      <c r="D1826" t="s">
        <v>70</v>
      </c>
      <c r="E1826" t="s">
        <v>68</v>
      </c>
      <c r="F1826" s="14">
        <v>1119615888</v>
      </c>
      <c r="G1826" s="14">
        <v>1119615888</v>
      </c>
      <c r="H1826">
        <f t="shared" si="56"/>
        <v>0</v>
      </c>
      <c r="I1826" s="20">
        <f t="shared" si="57"/>
        <v>45689</v>
      </c>
    </row>
    <row r="1827" spans="1:9" x14ac:dyDescent="0.2">
      <c r="A1827">
        <v>2025</v>
      </c>
      <c r="B1827">
        <v>2</v>
      </c>
      <c r="C1827" t="s">
        <v>64</v>
      </c>
      <c r="D1827" t="s">
        <v>70</v>
      </c>
      <c r="E1827" t="s">
        <v>68</v>
      </c>
      <c r="F1827" s="14">
        <v>1041915</v>
      </c>
      <c r="G1827" s="14">
        <v>1041915</v>
      </c>
      <c r="H1827">
        <f t="shared" si="56"/>
        <v>0</v>
      </c>
      <c r="I1827" s="20">
        <f t="shared" si="57"/>
        <v>45689</v>
      </c>
    </row>
    <row r="1828" spans="1:9" x14ac:dyDescent="0.2">
      <c r="A1828">
        <v>2025</v>
      </c>
      <c r="B1828">
        <v>2</v>
      </c>
      <c r="C1828" t="s">
        <v>55</v>
      </c>
      <c r="D1828" t="s">
        <v>70</v>
      </c>
      <c r="E1828" t="s">
        <v>61</v>
      </c>
      <c r="F1828" s="14">
        <v>153911</v>
      </c>
      <c r="G1828" s="14">
        <v>102606</v>
      </c>
      <c r="H1828">
        <f t="shared" si="56"/>
        <v>0</v>
      </c>
      <c r="I1828" s="20">
        <f t="shared" si="57"/>
        <v>45689</v>
      </c>
    </row>
    <row r="1829" spans="1:9" x14ac:dyDescent="0.2">
      <c r="A1829">
        <v>2025</v>
      </c>
      <c r="B1829">
        <v>3</v>
      </c>
      <c r="C1829" t="s">
        <v>55</v>
      </c>
      <c r="D1829" t="s">
        <v>56</v>
      </c>
      <c r="E1829" t="s">
        <v>80</v>
      </c>
      <c r="F1829" s="14">
        <v>88286999</v>
      </c>
      <c r="G1829" s="14">
        <v>88286999</v>
      </c>
      <c r="H1829">
        <f t="shared" si="56"/>
        <v>0</v>
      </c>
      <c r="I1829" s="20">
        <f t="shared" si="57"/>
        <v>45717</v>
      </c>
    </row>
    <row r="1830" spans="1:9" x14ac:dyDescent="0.2">
      <c r="A1830">
        <v>2025</v>
      </c>
      <c r="B1830">
        <v>3</v>
      </c>
      <c r="C1830" t="s">
        <v>55</v>
      </c>
      <c r="D1830" t="s">
        <v>56</v>
      </c>
      <c r="E1830" t="s">
        <v>57</v>
      </c>
      <c r="F1830" s="14">
        <v>6643499</v>
      </c>
      <c r="G1830" s="14">
        <v>6643499</v>
      </c>
      <c r="H1830">
        <f t="shared" si="56"/>
        <v>0</v>
      </c>
      <c r="I1830" s="20">
        <f t="shared" si="57"/>
        <v>45717</v>
      </c>
    </row>
    <row r="1831" spans="1:9" x14ac:dyDescent="0.2">
      <c r="A1831">
        <v>2025</v>
      </c>
      <c r="B1831">
        <v>3</v>
      </c>
      <c r="C1831" t="s">
        <v>64</v>
      </c>
      <c r="D1831" t="s">
        <v>56</v>
      </c>
      <c r="E1831" t="s">
        <v>80</v>
      </c>
      <c r="F1831" s="14">
        <v>3835897</v>
      </c>
      <c r="G1831" s="14">
        <v>3835897</v>
      </c>
      <c r="H1831">
        <f t="shared" si="56"/>
        <v>0</v>
      </c>
      <c r="I1831" s="20">
        <f t="shared" si="57"/>
        <v>45717</v>
      </c>
    </row>
    <row r="1832" spans="1:9" x14ac:dyDescent="0.2">
      <c r="A1832">
        <v>2025</v>
      </c>
      <c r="B1832">
        <v>3</v>
      </c>
      <c r="C1832" t="s">
        <v>55</v>
      </c>
      <c r="D1832" t="s">
        <v>56</v>
      </c>
      <c r="E1832" t="s">
        <v>81</v>
      </c>
      <c r="F1832" s="14">
        <v>83205</v>
      </c>
      <c r="G1832" s="14">
        <v>83205</v>
      </c>
      <c r="H1832">
        <f t="shared" si="56"/>
        <v>0</v>
      </c>
      <c r="I1832" s="20">
        <f t="shared" si="57"/>
        <v>45717</v>
      </c>
    </row>
    <row r="1833" spans="1:9" x14ac:dyDescent="0.2">
      <c r="A1833">
        <v>2025</v>
      </c>
      <c r="B1833">
        <v>3</v>
      </c>
      <c r="C1833" t="s">
        <v>55</v>
      </c>
      <c r="D1833" t="s">
        <v>60</v>
      </c>
      <c r="E1833" t="s">
        <v>63</v>
      </c>
      <c r="F1833" s="14">
        <v>316988018</v>
      </c>
      <c r="G1833" s="14">
        <v>186463484</v>
      </c>
      <c r="H1833">
        <f t="shared" si="56"/>
        <v>0</v>
      </c>
      <c r="I1833" s="20">
        <f t="shared" si="57"/>
        <v>45717</v>
      </c>
    </row>
    <row r="1834" spans="1:9" x14ac:dyDescent="0.2">
      <c r="A1834">
        <v>2025</v>
      </c>
      <c r="B1834">
        <v>3</v>
      </c>
      <c r="C1834" t="s">
        <v>55</v>
      </c>
      <c r="D1834" t="s">
        <v>60</v>
      </c>
      <c r="E1834" t="s">
        <v>61</v>
      </c>
      <c r="F1834" s="14">
        <v>145112662</v>
      </c>
      <c r="G1834" s="14">
        <v>96740676</v>
      </c>
      <c r="H1834">
        <f t="shared" si="56"/>
        <v>0</v>
      </c>
      <c r="I1834" s="20">
        <f t="shared" si="57"/>
        <v>45717</v>
      </c>
    </row>
    <row r="1835" spans="1:9" x14ac:dyDescent="0.2">
      <c r="A1835">
        <v>2025</v>
      </c>
      <c r="B1835">
        <v>3</v>
      </c>
      <c r="C1835" t="s">
        <v>55</v>
      </c>
      <c r="D1835" t="s">
        <v>60</v>
      </c>
      <c r="E1835" t="s">
        <v>76</v>
      </c>
      <c r="F1835" s="14">
        <v>58393501</v>
      </c>
      <c r="G1835" s="14">
        <v>36495940</v>
      </c>
      <c r="H1835">
        <f t="shared" si="56"/>
        <v>0</v>
      </c>
      <c r="I1835" s="20">
        <f t="shared" si="57"/>
        <v>45717</v>
      </c>
    </row>
    <row r="1836" spans="1:9" x14ac:dyDescent="0.2">
      <c r="A1836">
        <v>2025</v>
      </c>
      <c r="B1836">
        <v>3</v>
      </c>
      <c r="C1836" t="s">
        <v>64</v>
      </c>
      <c r="D1836" t="s">
        <v>60</v>
      </c>
      <c r="E1836" t="s">
        <v>63</v>
      </c>
      <c r="F1836" s="14">
        <v>21551583</v>
      </c>
      <c r="G1836" s="14">
        <v>12677402</v>
      </c>
      <c r="H1836">
        <f t="shared" si="56"/>
        <v>0</v>
      </c>
      <c r="I1836" s="20">
        <f t="shared" si="57"/>
        <v>45717</v>
      </c>
    </row>
    <row r="1837" spans="1:9" x14ac:dyDescent="0.2">
      <c r="A1837">
        <v>2025</v>
      </c>
      <c r="B1837">
        <v>3</v>
      </c>
      <c r="C1837" t="s">
        <v>62</v>
      </c>
      <c r="D1837" t="s">
        <v>60</v>
      </c>
      <c r="E1837" t="s">
        <v>63</v>
      </c>
      <c r="F1837" s="14">
        <v>12638851</v>
      </c>
      <c r="G1837" s="14">
        <v>7434618</v>
      </c>
      <c r="H1837">
        <f t="shared" si="56"/>
        <v>0</v>
      </c>
      <c r="I1837" s="20">
        <f t="shared" si="57"/>
        <v>45717</v>
      </c>
    </row>
    <row r="1838" spans="1:9" x14ac:dyDescent="0.2">
      <c r="A1838">
        <v>2025</v>
      </c>
      <c r="B1838">
        <v>3</v>
      </c>
      <c r="C1838" t="s">
        <v>62</v>
      </c>
      <c r="D1838" t="s">
        <v>60</v>
      </c>
      <c r="E1838" t="s">
        <v>65</v>
      </c>
      <c r="F1838" s="14">
        <v>7970709</v>
      </c>
      <c r="G1838" s="14">
        <v>4981693</v>
      </c>
      <c r="H1838">
        <f t="shared" si="56"/>
        <v>1</v>
      </c>
      <c r="I1838" s="20">
        <f t="shared" si="57"/>
        <v>45717</v>
      </c>
    </row>
    <row r="1839" spans="1:9" x14ac:dyDescent="0.2">
      <c r="A1839">
        <v>2025</v>
      </c>
      <c r="B1839">
        <v>3</v>
      </c>
      <c r="C1839" t="s">
        <v>55</v>
      </c>
      <c r="D1839" t="s">
        <v>60</v>
      </c>
      <c r="E1839" t="s">
        <v>65</v>
      </c>
      <c r="F1839" s="14">
        <v>6152024</v>
      </c>
      <c r="G1839" s="14">
        <v>3845015</v>
      </c>
      <c r="H1839">
        <f t="shared" si="56"/>
        <v>1</v>
      </c>
      <c r="I1839" s="20">
        <f t="shared" si="57"/>
        <v>45717</v>
      </c>
    </row>
    <row r="1840" spans="1:9" x14ac:dyDescent="0.2">
      <c r="A1840">
        <v>2025</v>
      </c>
      <c r="B1840">
        <v>3</v>
      </c>
      <c r="C1840" t="s">
        <v>64</v>
      </c>
      <c r="D1840" t="s">
        <v>60</v>
      </c>
      <c r="E1840" t="s">
        <v>61</v>
      </c>
      <c r="F1840" s="14">
        <v>5864818</v>
      </c>
      <c r="G1840" s="14">
        <v>3909875</v>
      </c>
      <c r="H1840">
        <f t="shared" si="56"/>
        <v>0</v>
      </c>
      <c r="I1840" s="20">
        <f t="shared" si="57"/>
        <v>45717</v>
      </c>
    </row>
    <row r="1841" spans="1:9" x14ac:dyDescent="0.2">
      <c r="A1841">
        <v>2025</v>
      </c>
      <c r="B1841">
        <v>3</v>
      </c>
      <c r="C1841" t="s">
        <v>55</v>
      </c>
      <c r="D1841" t="s">
        <v>66</v>
      </c>
      <c r="E1841" t="s">
        <v>63</v>
      </c>
      <c r="F1841" s="14">
        <v>11169549</v>
      </c>
      <c r="G1841" s="14">
        <v>6570323</v>
      </c>
      <c r="H1841">
        <f t="shared" si="56"/>
        <v>0</v>
      </c>
      <c r="I1841" s="20">
        <f t="shared" si="57"/>
        <v>45717</v>
      </c>
    </row>
    <row r="1842" spans="1:9" x14ac:dyDescent="0.2">
      <c r="A1842">
        <v>2025</v>
      </c>
      <c r="B1842">
        <v>3</v>
      </c>
      <c r="C1842" t="s">
        <v>55</v>
      </c>
      <c r="D1842" t="s">
        <v>66</v>
      </c>
      <c r="E1842" t="s">
        <v>75</v>
      </c>
      <c r="F1842" s="14">
        <v>7288372</v>
      </c>
      <c r="G1842" s="14">
        <v>5205981</v>
      </c>
      <c r="H1842">
        <f t="shared" si="56"/>
        <v>0</v>
      </c>
      <c r="I1842" s="20">
        <f t="shared" si="57"/>
        <v>45717</v>
      </c>
    </row>
    <row r="1843" spans="1:9" x14ac:dyDescent="0.2">
      <c r="A1843">
        <v>2025</v>
      </c>
      <c r="B1843">
        <v>3</v>
      </c>
      <c r="C1843" t="s">
        <v>55</v>
      </c>
      <c r="D1843" t="s">
        <v>66</v>
      </c>
      <c r="E1843" t="s">
        <v>67</v>
      </c>
      <c r="F1843" s="14">
        <v>3679909</v>
      </c>
      <c r="G1843" s="14">
        <v>2453244</v>
      </c>
      <c r="H1843">
        <f t="shared" si="56"/>
        <v>0</v>
      </c>
      <c r="I1843" s="20">
        <f t="shared" si="57"/>
        <v>45717</v>
      </c>
    </row>
    <row r="1844" spans="1:9" x14ac:dyDescent="0.2">
      <c r="A1844">
        <v>2025</v>
      </c>
      <c r="B1844">
        <v>3</v>
      </c>
      <c r="C1844" t="s">
        <v>55</v>
      </c>
      <c r="D1844" t="s">
        <v>66</v>
      </c>
      <c r="E1844" t="s">
        <v>68</v>
      </c>
      <c r="F1844" s="14">
        <v>2317486</v>
      </c>
      <c r="G1844" s="14">
        <v>2317486</v>
      </c>
      <c r="H1844">
        <f t="shared" si="56"/>
        <v>0</v>
      </c>
      <c r="I1844" s="20">
        <f t="shared" si="57"/>
        <v>45717</v>
      </c>
    </row>
    <row r="1845" spans="1:9" x14ac:dyDescent="0.2">
      <c r="A1845">
        <v>2025</v>
      </c>
      <c r="B1845">
        <v>3</v>
      </c>
      <c r="C1845" t="s">
        <v>55</v>
      </c>
      <c r="D1845" t="s">
        <v>66</v>
      </c>
      <c r="E1845" t="s">
        <v>69</v>
      </c>
      <c r="F1845" s="14">
        <v>339196</v>
      </c>
      <c r="G1845" s="14">
        <v>211997</v>
      </c>
      <c r="H1845">
        <f t="shared" si="56"/>
        <v>0</v>
      </c>
      <c r="I1845" s="20">
        <f t="shared" si="57"/>
        <v>45717</v>
      </c>
    </row>
    <row r="1846" spans="1:9" x14ac:dyDescent="0.2">
      <c r="A1846">
        <v>2025</v>
      </c>
      <c r="B1846">
        <v>3</v>
      </c>
      <c r="C1846" t="s">
        <v>55</v>
      </c>
      <c r="D1846" t="s">
        <v>66</v>
      </c>
      <c r="E1846" t="s">
        <v>74</v>
      </c>
      <c r="F1846" s="14">
        <v>65823</v>
      </c>
      <c r="G1846" s="14">
        <v>59839</v>
      </c>
      <c r="H1846">
        <f t="shared" si="56"/>
        <v>0</v>
      </c>
      <c r="I1846" s="20">
        <f t="shared" si="57"/>
        <v>45717</v>
      </c>
    </row>
    <row r="1847" spans="1:9" x14ac:dyDescent="0.2">
      <c r="A1847">
        <v>2025</v>
      </c>
      <c r="B1847">
        <v>3</v>
      </c>
      <c r="C1847" t="s">
        <v>55</v>
      </c>
      <c r="D1847" t="s">
        <v>66</v>
      </c>
      <c r="E1847" t="s">
        <v>81</v>
      </c>
      <c r="F1847" s="14">
        <v>24883</v>
      </c>
      <c r="G1847" s="14">
        <v>24883</v>
      </c>
      <c r="H1847">
        <f t="shared" si="56"/>
        <v>0</v>
      </c>
      <c r="I1847" s="20">
        <f t="shared" si="57"/>
        <v>45717</v>
      </c>
    </row>
    <row r="1848" spans="1:9" x14ac:dyDescent="0.2">
      <c r="A1848">
        <v>2025</v>
      </c>
      <c r="B1848">
        <v>3</v>
      </c>
      <c r="C1848" t="s">
        <v>55</v>
      </c>
      <c r="D1848" t="s">
        <v>66</v>
      </c>
      <c r="E1848" t="s">
        <v>80</v>
      </c>
      <c r="F1848" s="14">
        <v>3695</v>
      </c>
      <c r="G1848" s="14">
        <v>3695</v>
      </c>
      <c r="H1848">
        <f t="shared" si="56"/>
        <v>0</v>
      </c>
      <c r="I1848" s="20">
        <f t="shared" si="57"/>
        <v>45717</v>
      </c>
    </row>
    <row r="1849" spans="1:9" x14ac:dyDescent="0.2">
      <c r="A1849">
        <v>2025</v>
      </c>
      <c r="B1849">
        <v>3</v>
      </c>
      <c r="C1849" t="s">
        <v>55</v>
      </c>
      <c r="D1849" t="s">
        <v>70</v>
      </c>
      <c r="E1849" t="s">
        <v>68</v>
      </c>
      <c r="F1849" s="14">
        <v>1214167371</v>
      </c>
      <c r="G1849" s="14">
        <v>1214167371</v>
      </c>
      <c r="H1849">
        <f t="shared" si="56"/>
        <v>0</v>
      </c>
      <c r="I1849" s="20">
        <f t="shared" si="57"/>
        <v>45717</v>
      </c>
    </row>
    <row r="1850" spans="1:9" x14ac:dyDescent="0.2">
      <c r="A1850">
        <v>2025</v>
      </c>
      <c r="B1850">
        <v>3</v>
      </c>
      <c r="C1850" t="s">
        <v>64</v>
      </c>
      <c r="D1850" t="s">
        <v>70</v>
      </c>
      <c r="E1850" t="s">
        <v>68</v>
      </c>
      <c r="F1850" s="14">
        <v>988011</v>
      </c>
      <c r="G1850" s="14">
        <v>988011</v>
      </c>
      <c r="H1850">
        <f t="shared" si="56"/>
        <v>0</v>
      </c>
      <c r="I1850" s="20">
        <f t="shared" si="57"/>
        <v>45717</v>
      </c>
    </row>
    <row r="1851" spans="1:9" x14ac:dyDescent="0.2">
      <c r="A1851">
        <v>2025</v>
      </c>
      <c r="B1851">
        <v>3</v>
      </c>
      <c r="C1851" t="s">
        <v>64</v>
      </c>
      <c r="D1851" t="s">
        <v>71</v>
      </c>
      <c r="E1851" t="s">
        <v>72</v>
      </c>
      <c r="F1851" s="14">
        <v>54155</v>
      </c>
      <c r="G1851" s="14">
        <v>54155</v>
      </c>
      <c r="H1851">
        <f t="shared" si="56"/>
        <v>0</v>
      </c>
      <c r="I1851" s="20">
        <f t="shared" si="57"/>
        <v>45717</v>
      </c>
    </row>
    <row r="1852" spans="1:9" x14ac:dyDescent="0.2">
      <c r="A1852">
        <v>2025</v>
      </c>
      <c r="B1852">
        <v>4</v>
      </c>
      <c r="C1852" t="s">
        <v>55</v>
      </c>
      <c r="D1852" t="s">
        <v>56</v>
      </c>
      <c r="E1852" t="s">
        <v>80</v>
      </c>
      <c r="F1852" s="14">
        <v>93540974</v>
      </c>
      <c r="G1852" s="14">
        <v>93540974</v>
      </c>
      <c r="H1852">
        <f t="shared" si="56"/>
        <v>0</v>
      </c>
      <c r="I1852" s="20">
        <f t="shared" si="57"/>
        <v>45748</v>
      </c>
    </row>
    <row r="1853" spans="1:9" x14ac:dyDescent="0.2">
      <c r="A1853">
        <v>2025</v>
      </c>
      <c r="B1853">
        <v>4</v>
      </c>
      <c r="C1853" t="s">
        <v>55</v>
      </c>
      <c r="D1853" t="s">
        <v>56</v>
      </c>
      <c r="E1853" t="s">
        <v>57</v>
      </c>
      <c r="F1853" s="14">
        <v>8762179</v>
      </c>
      <c r="G1853" s="14">
        <v>8762179</v>
      </c>
      <c r="H1853">
        <f t="shared" si="56"/>
        <v>0</v>
      </c>
      <c r="I1853" s="20">
        <f t="shared" si="57"/>
        <v>45748</v>
      </c>
    </row>
    <row r="1854" spans="1:9" x14ac:dyDescent="0.2">
      <c r="A1854">
        <v>2025</v>
      </c>
      <c r="B1854">
        <v>4</v>
      </c>
      <c r="C1854" t="s">
        <v>64</v>
      </c>
      <c r="D1854" t="s">
        <v>56</v>
      </c>
      <c r="E1854" t="s">
        <v>80</v>
      </c>
      <c r="F1854" s="14">
        <v>3623989</v>
      </c>
      <c r="G1854" s="14">
        <v>3623989</v>
      </c>
      <c r="H1854">
        <f t="shared" si="56"/>
        <v>0</v>
      </c>
      <c r="I1854" s="20">
        <f t="shared" si="57"/>
        <v>45748</v>
      </c>
    </row>
    <row r="1855" spans="1:9" x14ac:dyDescent="0.2">
      <c r="A1855">
        <v>2025</v>
      </c>
      <c r="B1855">
        <v>4</v>
      </c>
      <c r="C1855" t="s">
        <v>55</v>
      </c>
      <c r="D1855" t="s">
        <v>56</v>
      </c>
      <c r="E1855" t="s">
        <v>81</v>
      </c>
      <c r="F1855" s="14">
        <v>81023</v>
      </c>
      <c r="G1855" s="14">
        <v>81023</v>
      </c>
      <c r="H1855">
        <f t="shared" si="56"/>
        <v>0</v>
      </c>
      <c r="I1855" s="20">
        <f t="shared" si="57"/>
        <v>45748</v>
      </c>
    </row>
    <row r="1856" spans="1:9" x14ac:dyDescent="0.2">
      <c r="A1856">
        <v>2025</v>
      </c>
      <c r="B1856">
        <v>4</v>
      </c>
      <c r="C1856" t="s">
        <v>55</v>
      </c>
      <c r="D1856" t="s">
        <v>60</v>
      </c>
      <c r="E1856" t="s">
        <v>63</v>
      </c>
      <c r="F1856" s="14">
        <v>363477515</v>
      </c>
      <c r="G1856" s="14">
        <v>213810236</v>
      </c>
      <c r="H1856">
        <f t="shared" si="56"/>
        <v>0</v>
      </c>
      <c r="I1856" s="20">
        <f t="shared" si="57"/>
        <v>45748</v>
      </c>
    </row>
    <row r="1857" spans="1:9" x14ac:dyDescent="0.2">
      <c r="A1857">
        <v>2025</v>
      </c>
      <c r="B1857">
        <v>4</v>
      </c>
      <c r="C1857" t="s">
        <v>55</v>
      </c>
      <c r="D1857" t="s">
        <v>60</v>
      </c>
      <c r="E1857" t="s">
        <v>61</v>
      </c>
      <c r="F1857" s="14">
        <v>150795855</v>
      </c>
      <c r="G1857" s="14">
        <v>100529235</v>
      </c>
      <c r="H1857">
        <f t="shared" si="56"/>
        <v>0</v>
      </c>
      <c r="I1857" s="20">
        <f t="shared" si="57"/>
        <v>45748</v>
      </c>
    </row>
    <row r="1858" spans="1:9" x14ac:dyDescent="0.2">
      <c r="A1858">
        <v>2025</v>
      </c>
      <c r="B1858">
        <v>4</v>
      </c>
      <c r="C1858" t="s">
        <v>55</v>
      </c>
      <c r="D1858" t="s">
        <v>60</v>
      </c>
      <c r="E1858" t="s">
        <v>76</v>
      </c>
      <c r="F1858" s="14">
        <v>40146828</v>
      </c>
      <c r="G1858" s="14">
        <v>25091767</v>
      </c>
      <c r="H1858">
        <f t="shared" si="56"/>
        <v>0</v>
      </c>
      <c r="I1858" s="20">
        <f t="shared" si="57"/>
        <v>45748</v>
      </c>
    </row>
    <row r="1859" spans="1:9" x14ac:dyDescent="0.2">
      <c r="A1859">
        <v>2025</v>
      </c>
      <c r="B1859">
        <v>4</v>
      </c>
      <c r="C1859" t="s">
        <v>55</v>
      </c>
      <c r="D1859" t="s">
        <v>60</v>
      </c>
      <c r="E1859" t="s">
        <v>65</v>
      </c>
      <c r="F1859" s="14">
        <v>21485329</v>
      </c>
      <c r="G1859" s="14">
        <v>13428330</v>
      </c>
      <c r="H1859">
        <f t="shared" ref="H1859:H1922" si="58">--ISNUMBER(SEARCH("Jet Fuel",E1859))</f>
        <v>1</v>
      </c>
      <c r="I1859" s="20">
        <f t="shared" ref="I1859:I1922" si="59">DATE(A1859,B1859,1)</f>
        <v>45748</v>
      </c>
    </row>
    <row r="1860" spans="1:9" x14ac:dyDescent="0.2">
      <c r="A1860">
        <v>2025</v>
      </c>
      <c r="B1860">
        <v>4</v>
      </c>
      <c r="C1860" t="s">
        <v>62</v>
      </c>
      <c r="D1860" t="s">
        <v>60</v>
      </c>
      <c r="E1860" t="s">
        <v>65</v>
      </c>
      <c r="F1860" s="14">
        <v>7232277</v>
      </c>
      <c r="G1860" s="14">
        <v>4520173</v>
      </c>
      <c r="H1860">
        <f t="shared" si="58"/>
        <v>1</v>
      </c>
      <c r="I1860" s="20">
        <f t="shared" si="59"/>
        <v>45748</v>
      </c>
    </row>
    <row r="1861" spans="1:9" x14ac:dyDescent="0.2">
      <c r="A1861">
        <v>2025</v>
      </c>
      <c r="B1861">
        <v>4</v>
      </c>
      <c r="C1861" t="s">
        <v>62</v>
      </c>
      <c r="D1861" t="s">
        <v>60</v>
      </c>
      <c r="E1861" t="s">
        <v>63</v>
      </c>
      <c r="F1861" s="14">
        <v>6477972</v>
      </c>
      <c r="G1861" s="14">
        <v>3810572</v>
      </c>
      <c r="H1861">
        <f t="shared" si="58"/>
        <v>0</v>
      </c>
      <c r="I1861" s="20">
        <f t="shared" si="59"/>
        <v>45748</v>
      </c>
    </row>
    <row r="1862" spans="1:9" x14ac:dyDescent="0.2">
      <c r="A1862">
        <v>2025</v>
      </c>
      <c r="B1862">
        <v>4</v>
      </c>
      <c r="C1862" t="s">
        <v>64</v>
      </c>
      <c r="D1862" t="s">
        <v>60</v>
      </c>
      <c r="E1862" t="s">
        <v>61</v>
      </c>
      <c r="F1862" s="14">
        <v>2057304</v>
      </c>
      <c r="G1862" s="14">
        <v>1371535</v>
      </c>
      <c r="H1862">
        <f t="shared" si="58"/>
        <v>0</v>
      </c>
      <c r="I1862" s="20">
        <f t="shared" si="59"/>
        <v>45748</v>
      </c>
    </row>
    <row r="1863" spans="1:9" x14ac:dyDescent="0.2">
      <c r="A1863">
        <v>2025</v>
      </c>
      <c r="B1863">
        <v>4</v>
      </c>
      <c r="C1863" t="s">
        <v>55</v>
      </c>
      <c r="D1863" t="s">
        <v>66</v>
      </c>
      <c r="E1863" t="s">
        <v>75</v>
      </c>
      <c r="F1863" s="14">
        <v>8573092</v>
      </c>
      <c r="G1863" s="14">
        <v>6123636</v>
      </c>
      <c r="H1863">
        <f t="shared" si="58"/>
        <v>0</v>
      </c>
      <c r="I1863" s="20">
        <f t="shared" si="59"/>
        <v>45748</v>
      </c>
    </row>
    <row r="1864" spans="1:9" x14ac:dyDescent="0.2">
      <c r="A1864">
        <v>2025</v>
      </c>
      <c r="B1864">
        <v>4</v>
      </c>
      <c r="C1864" t="s">
        <v>55</v>
      </c>
      <c r="D1864" t="s">
        <v>66</v>
      </c>
      <c r="E1864" t="s">
        <v>63</v>
      </c>
      <c r="F1864" s="14">
        <v>7119528</v>
      </c>
      <c r="G1864" s="14">
        <v>4187957</v>
      </c>
      <c r="H1864">
        <f t="shared" si="58"/>
        <v>0</v>
      </c>
      <c r="I1864" s="20">
        <f t="shared" si="59"/>
        <v>45748</v>
      </c>
    </row>
    <row r="1865" spans="1:9" x14ac:dyDescent="0.2">
      <c r="A1865">
        <v>2025</v>
      </c>
      <c r="B1865">
        <v>4</v>
      </c>
      <c r="C1865" t="s">
        <v>55</v>
      </c>
      <c r="D1865" t="s">
        <v>66</v>
      </c>
      <c r="E1865" t="s">
        <v>68</v>
      </c>
      <c r="F1865" s="14">
        <v>5126746</v>
      </c>
      <c r="G1865" s="14">
        <v>5126746</v>
      </c>
      <c r="H1865">
        <f t="shared" si="58"/>
        <v>0</v>
      </c>
      <c r="I1865" s="20">
        <f t="shared" si="59"/>
        <v>45748</v>
      </c>
    </row>
    <row r="1866" spans="1:9" x14ac:dyDescent="0.2">
      <c r="A1866">
        <v>2025</v>
      </c>
      <c r="B1866">
        <v>4</v>
      </c>
      <c r="C1866" t="s">
        <v>55</v>
      </c>
      <c r="D1866" t="s">
        <v>66</v>
      </c>
      <c r="E1866" t="s">
        <v>67</v>
      </c>
      <c r="F1866" s="14">
        <v>3797800</v>
      </c>
      <c r="G1866" s="14">
        <v>2531851</v>
      </c>
      <c r="H1866">
        <f t="shared" si="58"/>
        <v>0</v>
      </c>
      <c r="I1866" s="20">
        <f t="shared" si="59"/>
        <v>45748</v>
      </c>
    </row>
    <row r="1867" spans="1:9" x14ac:dyDescent="0.2">
      <c r="A1867">
        <v>2025</v>
      </c>
      <c r="B1867">
        <v>4</v>
      </c>
      <c r="C1867" t="s">
        <v>55</v>
      </c>
      <c r="D1867" t="s">
        <v>66</v>
      </c>
      <c r="E1867" t="s">
        <v>81</v>
      </c>
      <c r="F1867" s="14">
        <v>54760</v>
      </c>
      <c r="G1867" s="14">
        <v>54760</v>
      </c>
      <c r="H1867">
        <f t="shared" si="58"/>
        <v>0</v>
      </c>
      <c r="I1867" s="20">
        <f t="shared" si="59"/>
        <v>45748</v>
      </c>
    </row>
    <row r="1868" spans="1:9" x14ac:dyDescent="0.2">
      <c r="A1868">
        <v>2025</v>
      </c>
      <c r="B1868">
        <v>4</v>
      </c>
      <c r="C1868" t="s">
        <v>55</v>
      </c>
      <c r="D1868" t="s">
        <v>66</v>
      </c>
      <c r="E1868" t="s">
        <v>80</v>
      </c>
      <c r="F1868" s="14">
        <v>39512</v>
      </c>
      <c r="G1868" s="14">
        <v>39512</v>
      </c>
      <c r="H1868">
        <f t="shared" si="58"/>
        <v>0</v>
      </c>
      <c r="I1868" s="20">
        <f t="shared" si="59"/>
        <v>45748</v>
      </c>
    </row>
    <row r="1869" spans="1:9" x14ac:dyDescent="0.2">
      <c r="A1869">
        <v>2025</v>
      </c>
      <c r="B1869">
        <v>4</v>
      </c>
      <c r="C1869" t="s">
        <v>55</v>
      </c>
      <c r="D1869" t="s">
        <v>70</v>
      </c>
      <c r="E1869" t="s">
        <v>68</v>
      </c>
      <c r="F1869" s="14">
        <v>1161483777</v>
      </c>
      <c r="G1869" s="14">
        <v>1161483777</v>
      </c>
      <c r="H1869">
        <f t="shared" si="58"/>
        <v>0</v>
      </c>
      <c r="I1869" s="20">
        <f t="shared" si="59"/>
        <v>45748</v>
      </c>
    </row>
    <row r="1870" spans="1:9" x14ac:dyDescent="0.2">
      <c r="A1870">
        <v>2025</v>
      </c>
      <c r="B1870">
        <v>4</v>
      </c>
      <c r="C1870" t="s">
        <v>64</v>
      </c>
      <c r="D1870" t="s">
        <v>70</v>
      </c>
      <c r="E1870" t="s">
        <v>68</v>
      </c>
      <c r="F1870" s="14">
        <v>823844</v>
      </c>
      <c r="G1870" s="14">
        <v>823844</v>
      </c>
      <c r="H1870">
        <f t="shared" si="58"/>
        <v>0</v>
      </c>
      <c r="I1870" s="20">
        <f t="shared" si="59"/>
        <v>45748</v>
      </c>
    </row>
    <row r="1871" spans="1:9" x14ac:dyDescent="0.2">
      <c r="A1871">
        <v>2025</v>
      </c>
      <c r="B1871">
        <v>4</v>
      </c>
      <c r="C1871" t="s">
        <v>64</v>
      </c>
      <c r="D1871" t="s">
        <v>71</v>
      </c>
      <c r="E1871" t="s">
        <v>72</v>
      </c>
      <c r="F1871" s="14">
        <v>23802</v>
      </c>
      <c r="G1871" s="14">
        <v>23802</v>
      </c>
      <c r="H1871">
        <f t="shared" si="58"/>
        <v>0</v>
      </c>
      <c r="I1871" s="20">
        <f t="shared" si="59"/>
        <v>45748</v>
      </c>
    </row>
    <row r="1872" spans="1:9" x14ac:dyDescent="0.2">
      <c r="A1872">
        <v>2025</v>
      </c>
      <c r="B1872">
        <v>5</v>
      </c>
      <c r="C1872" t="s">
        <v>55</v>
      </c>
      <c r="D1872" t="s">
        <v>56</v>
      </c>
      <c r="E1872" t="s">
        <v>80</v>
      </c>
      <c r="F1872" s="14">
        <v>105457431</v>
      </c>
      <c r="G1872" s="14">
        <v>105457431</v>
      </c>
      <c r="H1872">
        <f t="shared" si="58"/>
        <v>0</v>
      </c>
      <c r="I1872" s="20">
        <f t="shared" si="59"/>
        <v>45778</v>
      </c>
    </row>
    <row r="1873" spans="1:9" x14ac:dyDescent="0.2">
      <c r="A1873">
        <v>2025</v>
      </c>
      <c r="B1873">
        <v>5</v>
      </c>
      <c r="C1873" t="s">
        <v>55</v>
      </c>
      <c r="D1873" t="s">
        <v>56</v>
      </c>
      <c r="E1873" t="s">
        <v>57</v>
      </c>
      <c r="F1873" s="14">
        <v>6932700</v>
      </c>
      <c r="G1873" s="14">
        <v>6932700</v>
      </c>
      <c r="H1873">
        <f t="shared" si="58"/>
        <v>0</v>
      </c>
      <c r="I1873" s="20">
        <f t="shared" si="59"/>
        <v>45778</v>
      </c>
    </row>
    <row r="1874" spans="1:9" x14ac:dyDescent="0.2">
      <c r="A1874">
        <v>2025</v>
      </c>
      <c r="B1874">
        <v>5</v>
      </c>
      <c r="C1874" t="s">
        <v>64</v>
      </c>
      <c r="D1874" t="s">
        <v>56</v>
      </c>
      <c r="E1874" t="s">
        <v>80</v>
      </c>
      <c r="F1874" s="14">
        <v>3624760</v>
      </c>
      <c r="G1874" s="14">
        <v>3624760</v>
      </c>
      <c r="H1874">
        <f t="shared" si="58"/>
        <v>0</v>
      </c>
      <c r="I1874" s="20">
        <f t="shared" si="59"/>
        <v>45778</v>
      </c>
    </row>
    <row r="1875" spans="1:9" x14ac:dyDescent="0.2">
      <c r="A1875">
        <v>2025</v>
      </c>
      <c r="B1875">
        <v>5</v>
      </c>
      <c r="C1875" t="s">
        <v>55</v>
      </c>
      <c r="D1875" t="s">
        <v>56</v>
      </c>
      <c r="E1875" t="s">
        <v>81</v>
      </c>
      <c r="F1875" s="14">
        <v>86741</v>
      </c>
      <c r="G1875" s="14">
        <v>86741</v>
      </c>
      <c r="H1875">
        <f t="shared" si="58"/>
        <v>0</v>
      </c>
      <c r="I1875" s="20">
        <f t="shared" si="59"/>
        <v>45778</v>
      </c>
    </row>
    <row r="1876" spans="1:9" x14ac:dyDescent="0.2">
      <c r="A1876">
        <v>2025</v>
      </c>
      <c r="B1876">
        <v>5</v>
      </c>
      <c r="C1876" t="s">
        <v>55</v>
      </c>
      <c r="D1876" t="s">
        <v>60</v>
      </c>
      <c r="E1876" t="s">
        <v>63</v>
      </c>
      <c r="F1876" s="14">
        <v>375276227</v>
      </c>
      <c r="G1876" s="14">
        <v>220750658</v>
      </c>
      <c r="H1876">
        <f t="shared" si="58"/>
        <v>0</v>
      </c>
      <c r="I1876" s="20">
        <f t="shared" si="59"/>
        <v>45778</v>
      </c>
    </row>
    <row r="1877" spans="1:9" x14ac:dyDescent="0.2">
      <c r="A1877">
        <v>2025</v>
      </c>
      <c r="B1877">
        <v>5</v>
      </c>
      <c r="C1877" t="s">
        <v>55</v>
      </c>
      <c r="D1877" t="s">
        <v>60</v>
      </c>
      <c r="E1877" t="s">
        <v>61</v>
      </c>
      <c r="F1877" s="14">
        <v>144605553</v>
      </c>
      <c r="G1877" s="14">
        <v>96402373</v>
      </c>
      <c r="H1877">
        <f t="shared" si="58"/>
        <v>0</v>
      </c>
      <c r="I1877" s="20">
        <f t="shared" si="59"/>
        <v>45778</v>
      </c>
    </row>
    <row r="1878" spans="1:9" x14ac:dyDescent="0.2">
      <c r="A1878">
        <v>2025</v>
      </c>
      <c r="B1878">
        <v>5</v>
      </c>
      <c r="C1878" t="s">
        <v>55</v>
      </c>
      <c r="D1878" t="s">
        <v>60</v>
      </c>
      <c r="E1878" t="s">
        <v>76</v>
      </c>
      <c r="F1878" s="14">
        <v>33286846</v>
      </c>
      <c r="G1878" s="14">
        <v>20804280</v>
      </c>
      <c r="H1878">
        <f t="shared" si="58"/>
        <v>0</v>
      </c>
      <c r="I1878" s="20">
        <f t="shared" si="59"/>
        <v>45778</v>
      </c>
    </row>
    <row r="1879" spans="1:9" x14ac:dyDescent="0.2">
      <c r="A1879">
        <v>2025</v>
      </c>
      <c r="B1879">
        <v>5</v>
      </c>
      <c r="C1879" t="s">
        <v>55</v>
      </c>
      <c r="D1879" t="s">
        <v>60</v>
      </c>
      <c r="E1879" t="s">
        <v>65</v>
      </c>
      <c r="F1879" s="14">
        <v>30284953</v>
      </c>
      <c r="G1879" s="14">
        <v>18928087</v>
      </c>
      <c r="H1879">
        <f t="shared" si="58"/>
        <v>1</v>
      </c>
      <c r="I1879" s="20">
        <f t="shared" si="59"/>
        <v>45778</v>
      </c>
    </row>
    <row r="1880" spans="1:9" x14ac:dyDescent="0.2">
      <c r="A1880">
        <v>2025</v>
      </c>
      <c r="B1880">
        <v>5</v>
      </c>
      <c r="C1880" t="s">
        <v>62</v>
      </c>
      <c r="D1880" t="s">
        <v>60</v>
      </c>
      <c r="E1880" t="s">
        <v>65</v>
      </c>
      <c r="F1880" s="14">
        <v>9064870</v>
      </c>
      <c r="G1880" s="14">
        <v>5665544</v>
      </c>
      <c r="H1880">
        <f t="shared" si="58"/>
        <v>1</v>
      </c>
      <c r="I1880" s="20">
        <f t="shared" si="59"/>
        <v>45778</v>
      </c>
    </row>
    <row r="1881" spans="1:9" x14ac:dyDescent="0.2">
      <c r="A1881">
        <v>2025</v>
      </c>
      <c r="B1881">
        <v>5</v>
      </c>
      <c r="C1881" t="s">
        <v>62</v>
      </c>
      <c r="D1881" t="s">
        <v>60</v>
      </c>
      <c r="E1881" t="s">
        <v>63</v>
      </c>
      <c r="F1881" s="14">
        <v>8444366</v>
      </c>
      <c r="G1881" s="14">
        <v>4967274</v>
      </c>
      <c r="H1881">
        <f t="shared" si="58"/>
        <v>0</v>
      </c>
      <c r="I1881" s="20">
        <f t="shared" si="59"/>
        <v>45778</v>
      </c>
    </row>
    <row r="1882" spans="1:9" x14ac:dyDescent="0.2">
      <c r="A1882">
        <v>2025</v>
      </c>
      <c r="B1882">
        <v>5</v>
      </c>
      <c r="C1882" t="s">
        <v>64</v>
      </c>
      <c r="D1882" t="s">
        <v>60</v>
      </c>
      <c r="E1882" t="s">
        <v>61</v>
      </c>
      <c r="F1882" s="14">
        <v>1578114</v>
      </c>
      <c r="G1882" s="14">
        <v>1052075</v>
      </c>
      <c r="H1882">
        <f t="shared" si="58"/>
        <v>0</v>
      </c>
      <c r="I1882" s="20">
        <f t="shared" si="59"/>
        <v>45778</v>
      </c>
    </row>
    <row r="1883" spans="1:9" x14ac:dyDescent="0.2">
      <c r="A1883">
        <v>2025</v>
      </c>
      <c r="B1883">
        <v>5</v>
      </c>
      <c r="C1883" t="s">
        <v>55</v>
      </c>
      <c r="D1883" t="s">
        <v>66</v>
      </c>
      <c r="E1883" t="s">
        <v>75</v>
      </c>
      <c r="F1883" s="14">
        <v>8121957</v>
      </c>
      <c r="G1883" s="14">
        <v>5801398</v>
      </c>
      <c r="H1883">
        <f t="shared" si="58"/>
        <v>0</v>
      </c>
      <c r="I1883" s="20">
        <f t="shared" si="59"/>
        <v>45778</v>
      </c>
    </row>
    <row r="1884" spans="1:9" x14ac:dyDescent="0.2">
      <c r="A1884">
        <v>2025</v>
      </c>
      <c r="B1884">
        <v>5</v>
      </c>
      <c r="C1884" t="s">
        <v>55</v>
      </c>
      <c r="D1884" t="s">
        <v>66</v>
      </c>
      <c r="E1884" t="s">
        <v>68</v>
      </c>
      <c r="F1884" s="14">
        <v>5421944</v>
      </c>
      <c r="G1884" s="14">
        <v>5421944</v>
      </c>
      <c r="H1884">
        <f t="shared" si="58"/>
        <v>0</v>
      </c>
      <c r="I1884" s="20">
        <f t="shared" si="59"/>
        <v>45778</v>
      </c>
    </row>
    <row r="1885" spans="1:9" x14ac:dyDescent="0.2">
      <c r="A1885">
        <v>2025</v>
      </c>
      <c r="B1885">
        <v>5</v>
      </c>
      <c r="C1885" t="s">
        <v>55</v>
      </c>
      <c r="D1885" t="s">
        <v>66</v>
      </c>
      <c r="E1885" t="s">
        <v>67</v>
      </c>
      <c r="F1885" s="14">
        <v>3138600</v>
      </c>
      <c r="G1885" s="14">
        <v>2092388</v>
      </c>
      <c r="H1885">
        <f t="shared" si="58"/>
        <v>0</v>
      </c>
      <c r="I1885" s="20">
        <f t="shared" si="59"/>
        <v>45778</v>
      </c>
    </row>
    <row r="1886" spans="1:9" x14ac:dyDescent="0.2">
      <c r="A1886">
        <v>2025</v>
      </c>
      <c r="B1886">
        <v>5</v>
      </c>
      <c r="C1886" t="s">
        <v>55</v>
      </c>
      <c r="D1886" t="s">
        <v>66</v>
      </c>
      <c r="E1886" t="s">
        <v>69</v>
      </c>
      <c r="F1886" s="14">
        <v>526502</v>
      </c>
      <c r="G1886" s="14">
        <v>329063</v>
      </c>
      <c r="H1886">
        <f t="shared" si="58"/>
        <v>0</v>
      </c>
      <c r="I1886" s="20">
        <f t="shared" si="59"/>
        <v>45778</v>
      </c>
    </row>
    <row r="1887" spans="1:9" x14ac:dyDescent="0.2">
      <c r="A1887">
        <v>2025</v>
      </c>
      <c r="B1887">
        <v>5</v>
      </c>
      <c r="C1887" t="s">
        <v>55</v>
      </c>
      <c r="D1887" t="s">
        <v>66</v>
      </c>
      <c r="E1887" t="s">
        <v>63</v>
      </c>
      <c r="F1887" s="14">
        <v>468029</v>
      </c>
      <c r="G1887" s="14">
        <v>275311</v>
      </c>
      <c r="H1887">
        <f t="shared" si="58"/>
        <v>0</v>
      </c>
      <c r="I1887" s="20">
        <f t="shared" si="59"/>
        <v>45778</v>
      </c>
    </row>
    <row r="1888" spans="1:9" x14ac:dyDescent="0.2">
      <c r="A1888">
        <v>2025</v>
      </c>
      <c r="B1888">
        <v>5</v>
      </c>
      <c r="C1888" t="s">
        <v>55</v>
      </c>
      <c r="D1888" t="s">
        <v>66</v>
      </c>
      <c r="E1888" t="s">
        <v>74</v>
      </c>
      <c r="F1888" s="14">
        <v>98841</v>
      </c>
      <c r="G1888" s="14">
        <v>89855</v>
      </c>
      <c r="H1888">
        <f t="shared" si="58"/>
        <v>0</v>
      </c>
      <c r="I1888" s="20">
        <f t="shared" si="59"/>
        <v>45778</v>
      </c>
    </row>
    <row r="1889" spans="1:9" x14ac:dyDescent="0.2">
      <c r="A1889">
        <v>2025</v>
      </c>
      <c r="B1889">
        <v>5</v>
      </c>
      <c r="C1889" t="s">
        <v>55</v>
      </c>
      <c r="D1889" t="s">
        <v>66</v>
      </c>
      <c r="E1889" t="s">
        <v>81</v>
      </c>
      <c r="F1889" s="14">
        <v>58338</v>
      </c>
      <c r="G1889" s="14">
        <v>58338</v>
      </c>
      <c r="H1889">
        <f t="shared" si="58"/>
        <v>0</v>
      </c>
      <c r="I1889" s="20">
        <f t="shared" si="59"/>
        <v>45778</v>
      </c>
    </row>
    <row r="1890" spans="1:9" x14ac:dyDescent="0.2">
      <c r="A1890">
        <v>2025</v>
      </c>
      <c r="B1890">
        <v>5</v>
      </c>
      <c r="C1890" t="s">
        <v>55</v>
      </c>
      <c r="D1890" t="s">
        <v>66</v>
      </c>
      <c r="E1890" t="s">
        <v>80</v>
      </c>
      <c r="F1890" s="14">
        <v>42361</v>
      </c>
      <c r="G1890" s="14">
        <v>42361</v>
      </c>
      <c r="H1890">
        <f t="shared" si="58"/>
        <v>0</v>
      </c>
      <c r="I1890" s="20">
        <f t="shared" si="59"/>
        <v>45778</v>
      </c>
    </row>
    <row r="1891" spans="1:9" x14ac:dyDescent="0.2">
      <c r="A1891">
        <v>2025</v>
      </c>
      <c r="B1891">
        <v>5</v>
      </c>
      <c r="C1891" t="s">
        <v>55</v>
      </c>
      <c r="D1891" t="s">
        <v>70</v>
      </c>
      <c r="E1891" t="s">
        <v>68</v>
      </c>
      <c r="F1891" s="14">
        <v>1214520564</v>
      </c>
      <c r="G1891" s="14">
        <v>1214520564</v>
      </c>
      <c r="H1891">
        <f t="shared" si="58"/>
        <v>0</v>
      </c>
      <c r="I1891" s="20">
        <f t="shared" si="59"/>
        <v>45778</v>
      </c>
    </row>
    <row r="1892" spans="1:9" x14ac:dyDescent="0.2">
      <c r="A1892">
        <v>2025</v>
      </c>
      <c r="B1892">
        <v>5</v>
      </c>
      <c r="C1892" t="s">
        <v>64</v>
      </c>
      <c r="D1892" t="s">
        <v>70</v>
      </c>
      <c r="E1892" t="s">
        <v>68</v>
      </c>
      <c r="F1892" s="14">
        <v>1127082</v>
      </c>
      <c r="G1892" s="14">
        <v>1127082</v>
      </c>
      <c r="H1892">
        <f t="shared" si="58"/>
        <v>0</v>
      </c>
      <c r="I1892" s="20">
        <f t="shared" si="59"/>
        <v>45778</v>
      </c>
    </row>
    <row r="1893" spans="1:9" x14ac:dyDescent="0.2">
      <c r="A1893">
        <v>2025</v>
      </c>
      <c r="B1893">
        <v>5</v>
      </c>
      <c r="C1893" t="s">
        <v>64</v>
      </c>
      <c r="D1893" t="s">
        <v>71</v>
      </c>
      <c r="E1893" t="s">
        <v>72</v>
      </c>
      <c r="F1893" s="14">
        <v>22401</v>
      </c>
      <c r="G1893" s="14">
        <v>22401</v>
      </c>
      <c r="H1893">
        <f t="shared" si="58"/>
        <v>0</v>
      </c>
      <c r="I1893" s="20">
        <f t="shared" si="59"/>
        <v>45778</v>
      </c>
    </row>
    <row r="1894" spans="1:9" x14ac:dyDescent="0.2">
      <c r="A1894">
        <v>2025</v>
      </c>
      <c r="B1894">
        <v>6</v>
      </c>
      <c r="C1894" t="s">
        <v>55</v>
      </c>
      <c r="D1894" t="s">
        <v>56</v>
      </c>
      <c r="E1894" t="s">
        <v>80</v>
      </c>
      <c r="F1894" s="14">
        <v>100312491</v>
      </c>
      <c r="G1894" s="14">
        <v>100312491</v>
      </c>
      <c r="H1894">
        <f t="shared" si="58"/>
        <v>0</v>
      </c>
      <c r="I1894" s="20">
        <f t="shared" si="59"/>
        <v>45809</v>
      </c>
    </row>
    <row r="1895" spans="1:9" x14ac:dyDescent="0.2">
      <c r="A1895">
        <v>2025</v>
      </c>
      <c r="B1895">
        <v>6</v>
      </c>
      <c r="C1895" t="s">
        <v>55</v>
      </c>
      <c r="D1895" t="s">
        <v>56</v>
      </c>
      <c r="E1895" t="s">
        <v>57</v>
      </c>
      <c r="F1895" s="14">
        <v>5304248</v>
      </c>
      <c r="G1895" s="14">
        <v>5304248</v>
      </c>
      <c r="H1895">
        <f t="shared" si="58"/>
        <v>0</v>
      </c>
      <c r="I1895" s="20">
        <f t="shared" si="59"/>
        <v>45809</v>
      </c>
    </row>
    <row r="1896" spans="1:9" x14ac:dyDescent="0.2">
      <c r="A1896">
        <v>2025</v>
      </c>
      <c r="B1896">
        <v>6</v>
      </c>
      <c r="C1896" t="s">
        <v>64</v>
      </c>
      <c r="D1896" t="s">
        <v>56</v>
      </c>
      <c r="E1896" t="s">
        <v>80</v>
      </c>
      <c r="F1896" s="14">
        <v>3558506</v>
      </c>
      <c r="G1896" s="14">
        <v>3558506</v>
      </c>
      <c r="H1896">
        <f t="shared" si="58"/>
        <v>0</v>
      </c>
      <c r="I1896" s="20">
        <f t="shared" si="59"/>
        <v>45809</v>
      </c>
    </row>
    <row r="1897" spans="1:9" x14ac:dyDescent="0.2">
      <c r="A1897">
        <v>2025</v>
      </c>
      <c r="B1897">
        <v>6</v>
      </c>
      <c r="C1897" t="s">
        <v>55</v>
      </c>
      <c r="D1897" t="s">
        <v>56</v>
      </c>
      <c r="E1897" t="s">
        <v>81</v>
      </c>
      <c r="F1897" s="14">
        <v>80021</v>
      </c>
      <c r="G1897" s="14">
        <v>80021</v>
      </c>
      <c r="H1897">
        <f t="shared" si="58"/>
        <v>0</v>
      </c>
      <c r="I1897" s="20">
        <f t="shared" si="59"/>
        <v>45809</v>
      </c>
    </row>
    <row r="1898" spans="1:9" x14ac:dyDescent="0.2">
      <c r="A1898">
        <v>2025</v>
      </c>
      <c r="B1898">
        <v>6</v>
      </c>
      <c r="C1898" t="s">
        <v>55</v>
      </c>
      <c r="D1898" t="s">
        <v>60</v>
      </c>
      <c r="E1898" t="s">
        <v>63</v>
      </c>
      <c r="F1898" s="14">
        <v>409682745</v>
      </c>
      <c r="G1898" s="14">
        <v>240989788</v>
      </c>
      <c r="H1898">
        <f t="shared" si="58"/>
        <v>0</v>
      </c>
      <c r="I1898" s="20">
        <f t="shared" si="59"/>
        <v>45809</v>
      </c>
    </row>
    <row r="1899" spans="1:9" x14ac:dyDescent="0.2">
      <c r="A1899">
        <v>2025</v>
      </c>
      <c r="B1899">
        <v>6</v>
      </c>
      <c r="C1899" t="s">
        <v>55</v>
      </c>
      <c r="D1899" t="s">
        <v>60</v>
      </c>
      <c r="E1899" t="s">
        <v>61</v>
      </c>
      <c r="F1899" s="14">
        <v>146281270</v>
      </c>
      <c r="G1899" s="14">
        <v>97519423</v>
      </c>
      <c r="H1899">
        <f t="shared" si="58"/>
        <v>0</v>
      </c>
      <c r="I1899" s="20">
        <f t="shared" si="59"/>
        <v>45809</v>
      </c>
    </row>
    <row r="1900" spans="1:9" x14ac:dyDescent="0.2">
      <c r="A1900">
        <v>2025</v>
      </c>
      <c r="B1900">
        <v>6</v>
      </c>
      <c r="C1900" t="s">
        <v>55</v>
      </c>
      <c r="D1900" t="s">
        <v>60</v>
      </c>
      <c r="E1900" t="s">
        <v>76</v>
      </c>
      <c r="F1900" s="14">
        <v>36169527</v>
      </c>
      <c r="G1900" s="14">
        <v>22605954</v>
      </c>
      <c r="H1900">
        <f t="shared" si="58"/>
        <v>0</v>
      </c>
      <c r="I1900" s="20">
        <f t="shared" si="59"/>
        <v>45809</v>
      </c>
    </row>
    <row r="1901" spans="1:9" x14ac:dyDescent="0.2">
      <c r="A1901">
        <v>2025</v>
      </c>
      <c r="B1901">
        <v>6</v>
      </c>
      <c r="C1901" t="s">
        <v>55</v>
      </c>
      <c r="D1901" t="s">
        <v>60</v>
      </c>
      <c r="E1901" t="s">
        <v>65</v>
      </c>
      <c r="F1901" s="14">
        <v>28850778</v>
      </c>
      <c r="G1901" s="14">
        <v>18031739</v>
      </c>
      <c r="H1901">
        <f t="shared" si="58"/>
        <v>1</v>
      </c>
      <c r="I1901" s="20">
        <f t="shared" si="59"/>
        <v>45809</v>
      </c>
    </row>
    <row r="1902" spans="1:9" x14ac:dyDescent="0.2">
      <c r="A1902">
        <v>2025</v>
      </c>
      <c r="B1902">
        <v>6</v>
      </c>
      <c r="C1902" t="s">
        <v>62</v>
      </c>
      <c r="D1902" t="s">
        <v>60</v>
      </c>
      <c r="E1902" t="s">
        <v>65</v>
      </c>
      <c r="F1902" s="14">
        <v>9045682</v>
      </c>
      <c r="G1902" s="14">
        <v>5653551</v>
      </c>
      <c r="H1902">
        <f t="shared" si="58"/>
        <v>1</v>
      </c>
      <c r="I1902" s="20">
        <f t="shared" si="59"/>
        <v>45809</v>
      </c>
    </row>
    <row r="1903" spans="1:9" x14ac:dyDescent="0.2">
      <c r="A1903">
        <v>2025</v>
      </c>
      <c r="B1903">
        <v>6</v>
      </c>
      <c r="C1903" t="s">
        <v>64</v>
      </c>
      <c r="D1903" t="s">
        <v>60</v>
      </c>
      <c r="E1903" t="s">
        <v>61</v>
      </c>
      <c r="F1903" s="14">
        <v>192477</v>
      </c>
      <c r="G1903" s="14">
        <v>128318</v>
      </c>
      <c r="H1903">
        <f t="shared" si="58"/>
        <v>0</v>
      </c>
      <c r="I1903" s="20">
        <f t="shared" si="59"/>
        <v>45809</v>
      </c>
    </row>
    <row r="1904" spans="1:9" x14ac:dyDescent="0.2">
      <c r="A1904">
        <v>2025</v>
      </c>
      <c r="B1904">
        <v>6</v>
      </c>
      <c r="C1904" t="s">
        <v>55</v>
      </c>
      <c r="D1904" t="s">
        <v>66</v>
      </c>
      <c r="E1904" t="s">
        <v>75</v>
      </c>
      <c r="F1904" s="14">
        <v>7270601</v>
      </c>
      <c r="G1904" s="14">
        <v>5193286</v>
      </c>
      <c r="H1904">
        <f t="shared" si="58"/>
        <v>0</v>
      </c>
      <c r="I1904" s="20">
        <f t="shared" si="59"/>
        <v>45809</v>
      </c>
    </row>
    <row r="1905" spans="1:9" x14ac:dyDescent="0.2">
      <c r="A1905">
        <v>2025</v>
      </c>
      <c r="B1905">
        <v>6</v>
      </c>
      <c r="C1905" t="s">
        <v>55</v>
      </c>
      <c r="D1905" t="s">
        <v>66</v>
      </c>
      <c r="E1905" t="s">
        <v>68</v>
      </c>
      <c r="F1905" s="14">
        <v>5240442</v>
      </c>
      <c r="G1905" s="14">
        <v>5240442</v>
      </c>
      <c r="H1905">
        <f t="shared" si="58"/>
        <v>0</v>
      </c>
      <c r="I1905" s="20">
        <f t="shared" si="59"/>
        <v>45809</v>
      </c>
    </row>
    <row r="1906" spans="1:9" x14ac:dyDescent="0.2">
      <c r="A1906">
        <v>2025</v>
      </c>
      <c r="B1906">
        <v>6</v>
      </c>
      <c r="C1906" t="s">
        <v>55</v>
      </c>
      <c r="D1906" t="s">
        <v>66</v>
      </c>
      <c r="E1906" t="s">
        <v>67</v>
      </c>
      <c r="F1906" s="14">
        <v>3242181</v>
      </c>
      <c r="G1906" s="14">
        <v>2161444</v>
      </c>
      <c r="H1906">
        <f t="shared" si="58"/>
        <v>0</v>
      </c>
      <c r="I1906" s="20">
        <f t="shared" si="59"/>
        <v>45809</v>
      </c>
    </row>
    <row r="1907" spans="1:9" x14ac:dyDescent="0.2">
      <c r="A1907">
        <v>2025</v>
      </c>
      <c r="B1907">
        <v>6</v>
      </c>
      <c r="C1907" t="s">
        <v>55</v>
      </c>
      <c r="D1907" t="s">
        <v>66</v>
      </c>
      <c r="E1907" t="s">
        <v>63</v>
      </c>
      <c r="F1907" s="14">
        <v>2731128</v>
      </c>
      <c r="G1907" s="14">
        <v>1606545</v>
      </c>
      <c r="H1907">
        <f t="shared" si="58"/>
        <v>0</v>
      </c>
      <c r="I1907" s="20">
        <f t="shared" si="59"/>
        <v>45809</v>
      </c>
    </row>
    <row r="1908" spans="1:9" x14ac:dyDescent="0.2">
      <c r="A1908">
        <v>2025</v>
      </c>
      <c r="B1908">
        <v>6</v>
      </c>
      <c r="C1908" t="s">
        <v>55</v>
      </c>
      <c r="D1908" t="s">
        <v>66</v>
      </c>
      <c r="E1908" t="s">
        <v>74</v>
      </c>
      <c r="F1908" s="14">
        <v>199469</v>
      </c>
      <c r="G1908" s="14">
        <v>181336</v>
      </c>
      <c r="H1908">
        <f t="shared" si="58"/>
        <v>0</v>
      </c>
      <c r="I1908" s="20">
        <f t="shared" si="59"/>
        <v>45809</v>
      </c>
    </row>
    <row r="1909" spans="1:9" x14ac:dyDescent="0.2">
      <c r="A1909">
        <v>2025</v>
      </c>
      <c r="B1909">
        <v>6</v>
      </c>
      <c r="C1909" t="s">
        <v>55</v>
      </c>
      <c r="D1909" t="s">
        <v>66</v>
      </c>
      <c r="E1909" t="s">
        <v>69</v>
      </c>
      <c r="F1909" s="14">
        <v>119290</v>
      </c>
      <c r="G1909" s="14">
        <v>74556</v>
      </c>
      <c r="H1909">
        <f t="shared" si="58"/>
        <v>0</v>
      </c>
      <c r="I1909" s="20">
        <f t="shared" si="59"/>
        <v>45809</v>
      </c>
    </row>
    <row r="1910" spans="1:9" x14ac:dyDescent="0.2">
      <c r="A1910">
        <v>2025</v>
      </c>
      <c r="B1910">
        <v>6</v>
      </c>
      <c r="C1910" t="s">
        <v>55</v>
      </c>
      <c r="D1910" t="s">
        <v>66</v>
      </c>
      <c r="E1910" t="s">
        <v>80</v>
      </c>
      <c r="F1910" s="14">
        <v>49171</v>
      </c>
      <c r="G1910" s="14">
        <v>49171</v>
      </c>
      <c r="H1910">
        <f t="shared" si="58"/>
        <v>0</v>
      </c>
      <c r="I1910" s="20">
        <f t="shared" si="59"/>
        <v>45809</v>
      </c>
    </row>
    <row r="1911" spans="1:9" x14ac:dyDescent="0.2">
      <c r="A1911">
        <v>2025</v>
      </c>
      <c r="B1911">
        <v>6</v>
      </c>
      <c r="C1911" t="s">
        <v>55</v>
      </c>
      <c r="D1911" t="s">
        <v>66</v>
      </c>
      <c r="E1911" t="s">
        <v>81</v>
      </c>
      <c r="F1911" s="14">
        <v>39956</v>
      </c>
      <c r="G1911" s="14">
        <v>39956</v>
      </c>
      <c r="H1911">
        <f t="shared" si="58"/>
        <v>0</v>
      </c>
      <c r="I1911" s="20">
        <f t="shared" si="59"/>
        <v>45809</v>
      </c>
    </row>
    <row r="1912" spans="1:9" x14ac:dyDescent="0.2">
      <c r="A1912">
        <v>2025</v>
      </c>
      <c r="B1912">
        <v>6</v>
      </c>
      <c r="C1912" t="s">
        <v>55</v>
      </c>
      <c r="D1912" t="s">
        <v>70</v>
      </c>
      <c r="E1912" t="s">
        <v>68</v>
      </c>
      <c r="F1912" s="14">
        <v>1248608108</v>
      </c>
      <c r="G1912" s="14">
        <v>1248608108</v>
      </c>
      <c r="H1912">
        <f t="shared" si="58"/>
        <v>0</v>
      </c>
      <c r="I1912" s="20">
        <f t="shared" si="59"/>
        <v>45809</v>
      </c>
    </row>
    <row r="1913" spans="1:9" x14ac:dyDescent="0.2">
      <c r="A1913">
        <v>2025</v>
      </c>
      <c r="B1913">
        <v>6</v>
      </c>
      <c r="C1913" t="s">
        <v>64</v>
      </c>
      <c r="D1913" t="s">
        <v>70</v>
      </c>
      <c r="E1913" t="s">
        <v>68</v>
      </c>
      <c r="F1913" s="14">
        <v>1245997</v>
      </c>
      <c r="G1913" s="14">
        <v>1245997</v>
      </c>
      <c r="H1913">
        <f t="shared" si="58"/>
        <v>0</v>
      </c>
      <c r="I1913" s="20">
        <f t="shared" si="59"/>
        <v>45809</v>
      </c>
    </row>
    <row r="1914" spans="1:9" x14ac:dyDescent="0.2">
      <c r="A1914">
        <v>2025</v>
      </c>
      <c r="B1914">
        <v>6</v>
      </c>
      <c r="C1914" t="s">
        <v>64</v>
      </c>
      <c r="D1914" t="s">
        <v>71</v>
      </c>
      <c r="E1914" t="s">
        <v>72</v>
      </c>
      <c r="F1914" s="14">
        <v>18071</v>
      </c>
      <c r="G1914" s="14">
        <v>18071</v>
      </c>
      <c r="H1914">
        <f t="shared" si="58"/>
        <v>0</v>
      </c>
      <c r="I1914" s="20">
        <f t="shared" si="59"/>
        <v>45809</v>
      </c>
    </row>
    <row r="1915" spans="1:9" x14ac:dyDescent="0.2">
      <c r="A1915">
        <v>2025</v>
      </c>
      <c r="B1915">
        <v>7</v>
      </c>
      <c r="C1915" t="s">
        <v>55</v>
      </c>
      <c r="D1915" t="s">
        <v>56</v>
      </c>
      <c r="E1915" t="s">
        <v>80</v>
      </c>
      <c r="F1915" s="14">
        <v>105102935</v>
      </c>
      <c r="G1915" s="14">
        <v>105102935</v>
      </c>
      <c r="H1915">
        <f t="shared" si="58"/>
        <v>0</v>
      </c>
      <c r="I1915" s="20">
        <f t="shared" si="59"/>
        <v>45839</v>
      </c>
    </row>
    <row r="1916" spans="1:9" x14ac:dyDescent="0.2">
      <c r="A1916">
        <v>2025</v>
      </c>
      <c r="B1916">
        <v>7</v>
      </c>
      <c r="C1916" t="s">
        <v>55</v>
      </c>
      <c r="D1916" t="s">
        <v>56</v>
      </c>
      <c r="E1916" t="s">
        <v>57</v>
      </c>
      <c r="F1916" s="14">
        <v>7769817</v>
      </c>
      <c r="G1916" s="14">
        <v>7769817</v>
      </c>
      <c r="H1916">
        <f t="shared" si="58"/>
        <v>0</v>
      </c>
      <c r="I1916" s="20">
        <f t="shared" si="59"/>
        <v>45839</v>
      </c>
    </row>
    <row r="1917" spans="1:9" x14ac:dyDescent="0.2">
      <c r="A1917">
        <v>2025</v>
      </c>
      <c r="B1917">
        <v>7</v>
      </c>
      <c r="C1917" t="s">
        <v>64</v>
      </c>
      <c r="D1917" t="s">
        <v>56</v>
      </c>
      <c r="E1917" t="s">
        <v>80</v>
      </c>
      <c r="F1917" s="14">
        <v>3684654</v>
      </c>
      <c r="G1917" s="14">
        <v>3684654</v>
      </c>
      <c r="H1917">
        <f t="shared" si="58"/>
        <v>0</v>
      </c>
      <c r="I1917" s="20">
        <f t="shared" si="59"/>
        <v>45839</v>
      </c>
    </row>
    <row r="1918" spans="1:9" x14ac:dyDescent="0.2">
      <c r="A1918">
        <v>2025</v>
      </c>
      <c r="B1918">
        <v>7</v>
      </c>
      <c r="C1918" t="s">
        <v>55</v>
      </c>
      <c r="D1918" t="s">
        <v>56</v>
      </c>
      <c r="E1918" t="s">
        <v>81</v>
      </c>
      <c r="F1918" s="14">
        <v>74664</v>
      </c>
      <c r="G1918" s="14">
        <v>74664</v>
      </c>
      <c r="H1918">
        <f t="shared" si="58"/>
        <v>0</v>
      </c>
      <c r="I1918" s="20">
        <f t="shared" si="59"/>
        <v>45839</v>
      </c>
    </row>
    <row r="1919" spans="1:9" x14ac:dyDescent="0.2">
      <c r="A1919">
        <v>2025</v>
      </c>
      <c r="B1919">
        <v>7</v>
      </c>
      <c r="C1919" t="s">
        <v>55</v>
      </c>
      <c r="D1919" t="s">
        <v>60</v>
      </c>
      <c r="E1919" t="s">
        <v>63</v>
      </c>
      <c r="F1919" s="14">
        <v>383249078</v>
      </c>
      <c r="G1919" s="14">
        <v>225440576</v>
      </c>
      <c r="H1919">
        <f t="shared" si="58"/>
        <v>0</v>
      </c>
      <c r="I1919" s="20">
        <f t="shared" si="59"/>
        <v>45839</v>
      </c>
    </row>
    <row r="1920" spans="1:9" x14ac:dyDescent="0.2">
      <c r="A1920">
        <v>2025</v>
      </c>
      <c r="B1920">
        <v>7</v>
      </c>
      <c r="C1920" t="s">
        <v>55</v>
      </c>
      <c r="D1920" t="s">
        <v>60</v>
      </c>
      <c r="E1920" t="s">
        <v>61</v>
      </c>
      <c r="F1920" s="14">
        <v>158584650</v>
      </c>
      <c r="G1920" s="14">
        <v>105721667</v>
      </c>
      <c r="H1920">
        <f t="shared" si="58"/>
        <v>0</v>
      </c>
      <c r="I1920" s="20">
        <f t="shared" si="59"/>
        <v>45839</v>
      </c>
    </row>
    <row r="1921" spans="1:9" x14ac:dyDescent="0.2">
      <c r="A1921">
        <v>2025</v>
      </c>
      <c r="B1921">
        <v>7</v>
      </c>
      <c r="C1921" t="s">
        <v>55</v>
      </c>
      <c r="D1921" t="s">
        <v>60</v>
      </c>
      <c r="E1921" t="s">
        <v>76</v>
      </c>
      <c r="F1921" s="14">
        <v>42732680</v>
      </c>
      <c r="G1921" s="14">
        <v>26707926</v>
      </c>
      <c r="H1921">
        <f t="shared" si="58"/>
        <v>0</v>
      </c>
      <c r="I1921" s="20">
        <f t="shared" si="59"/>
        <v>45839</v>
      </c>
    </row>
    <row r="1922" spans="1:9" x14ac:dyDescent="0.2">
      <c r="A1922">
        <v>2025</v>
      </c>
      <c r="B1922">
        <v>7</v>
      </c>
      <c r="C1922" t="s">
        <v>55</v>
      </c>
      <c r="D1922" t="s">
        <v>60</v>
      </c>
      <c r="E1922" t="s">
        <v>65</v>
      </c>
      <c r="F1922" s="14">
        <v>40244352</v>
      </c>
      <c r="G1922" s="14">
        <v>25152725</v>
      </c>
      <c r="H1922">
        <f t="shared" si="58"/>
        <v>1</v>
      </c>
      <c r="I1922" s="20">
        <f t="shared" si="59"/>
        <v>45839</v>
      </c>
    </row>
    <row r="1923" spans="1:9" x14ac:dyDescent="0.2">
      <c r="A1923">
        <v>2025</v>
      </c>
      <c r="B1923">
        <v>7</v>
      </c>
      <c r="C1923" t="s">
        <v>62</v>
      </c>
      <c r="D1923" t="s">
        <v>60</v>
      </c>
      <c r="E1923" t="s">
        <v>65</v>
      </c>
      <c r="F1923" s="14">
        <v>10677931</v>
      </c>
      <c r="G1923" s="14">
        <v>6673707</v>
      </c>
      <c r="H1923">
        <f t="shared" ref="H1923:H1986" si="60">--ISNUMBER(SEARCH("Jet Fuel",E1923))</f>
        <v>1</v>
      </c>
      <c r="I1923" s="20">
        <f t="shared" ref="I1923:I1986" si="61">DATE(A1923,B1923,1)</f>
        <v>45839</v>
      </c>
    </row>
    <row r="1924" spans="1:9" x14ac:dyDescent="0.2">
      <c r="A1924">
        <v>2025</v>
      </c>
      <c r="B1924">
        <v>7</v>
      </c>
      <c r="C1924" t="s">
        <v>55</v>
      </c>
      <c r="D1924" t="s">
        <v>66</v>
      </c>
      <c r="E1924" t="s">
        <v>75</v>
      </c>
      <c r="F1924" s="14">
        <v>10186403</v>
      </c>
      <c r="G1924" s="14">
        <v>7276003</v>
      </c>
      <c r="H1924">
        <f t="shared" si="60"/>
        <v>0</v>
      </c>
      <c r="I1924" s="20">
        <f t="shared" si="61"/>
        <v>45839</v>
      </c>
    </row>
    <row r="1925" spans="1:9" x14ac:dyDescent="0.2">
      <c r="A1925">
        <v>2025</v>
      </c>
      <c r="B1925">
        <v>7</v>
      </c>
      <c r="C1925" t="s">
        <v>55</v>
      </c>
      <c r="D1925" t="s">
        <v>66</v>
      </c>
      <c r="E1925" t="s">
        <v>68</v>
      </c>
      <c r="F1925" s="14">
        <v>5448831</v>
      </c>
      <c r="G1925" s="14">
        <v>5448831</v>
      </c>
      <c r="H1925">
        <f t="shared" si="60"/>
        <v>0</v>
      </c>
      <c r="I1925" s="20">
        <f t="shared" si="61"/>
        <v>45839</v>
      </c>
    </row>
    <row r="1926" spans="1:9" x14ac:dyDescent="0.2">
      <c r="A1926">
        <v>2025</v>
      </c>
      <c r="B1926">
        <v>7</v>
      </c>
      <c r="C1926" t="s">
        <v>55</v>
      </c>
      <c r="D1926" t="s">
        <v>66</v>
      </c>
      <c r="E1926" t="s">
        <v>63</v>
      </c>
      <c r="F1926" s="14">
        <v>4835507</v>
      </c>
      <c r="G1926" s="14">
        <v>2844415</v>
      </c>
      <c r="H1926">
        <f t="shared" si="60"/>
        <v>0</v>
      </c>
      <c r="I1926" s="20">
        <f t="shared" si="61"/>
        <v>45839</v>
      </c>
    </row>
    <row r="1927" spans="1:9" x14ac:dyDescent="0.2">
      <c r="A1927">
        <v>2025</v>
      </c>
      <c r="B1927">
        <v>7</v>
      </c>
      <c r="C1927" t="s">
        <v>55</v>
      </c>
      <c r="D1927" t="s">
        <v>66</v>
      </c>
      <c r="E1927" t="s">
        <v>67</v>
      </c>
      <c r="F1927" s="14">
        <v>3412363</v>
      </c>
      <c r="G1927" s="14">
        <v>2274896</v>
      </c>
      <c r="H1927">
        <f t="shared" si="60"/>
        <v>0</v>
      </c>
      <c r="I1927" s="20">
        <f t="shared" si="61"/>
        <v>45839</v>
      </c>
    </row>
    <row r="1928" spans="1:9" x14ac:dyDescent="0.2">
      <c r="A1928">
        <v>2025</v>
      </c>
      <c r="B1928">
        <v>7</v>
      </c>
      <c r="C1928" t="s">
        <v>55</v>
      </c>
      <c r="D1928" t="s">
        <v>66</v>
      </c>
      <c r="E1928" t="s">
        <v>69</v>
      </c>
      <c r="F1928" s="14">
        <v>638205</v>
      </c>
      <c r="G1928" s="14">
        <v>398877</v>
      </c>
      <c r="H1928">
        <f t="shared" si="60"/>
        <v>0</v>
      </c>
      <c r="I1928" s="20">
        <f t="shared" si="61"/>
        <v>45839</v>
      </c>
    </row>
    <row r="1929" spans="1:9" x14ac:dyDescent="0.2">
      <c r="A1929">
        <v>2025</v>
      </c>
      <c r="B1929">
        <v>7</v>
      </c>
      <c r="C1929" t="s">
        <v>55</v>
      </c>
      <c r="D1929" t="s">
        <v>66</v>
      </c>
      <c r="E1929" t="s">
        <v>74</v>
      </c>
      <c r="F1929" s="14">
        <v>90954</v>
      </c>
      <c r="G1929" s="14">
        <v>82685</v>
      </c>
      <c r="H1929">
        <f t="shared" si="60"/>
        <v>0</v>
      </c>
      <c r="I1929" s="20">
        <f t="shared" si="61"/>
        <v>45839</v>
      </c>
    </row>
    <row r="1930" spans="1:9" x14ac:dyDescent="0.2">
      <c r="A1930">
        <v>2025</v>
      </c>
      <c r="B1930">
        <v>7</v>
      </c>
      <c r="C1930" t="s">
        <v>55</v>
      </c>
      <c r="D1930" t="s">
        <v>66</v>
      </c>
      <c r="E1930" t="s">
        <v>80</v>
      </c>
      <c r="F1930" s="14">
        <v>49716</v>
      </c>
      <c r="G1930" s="14">
        <v>49716</v>
      </c>
      <c r="H1930">
        <f t="shared" si="60"/>
        <v>0</v>
      </c>
      <c r="I1930" s="20">
        <f t="shared" si="61"/>
        <v>45839</v>
      </c>
    </row>
    <row r="1931" spans="1:9" x14ac:dyDescent="0.2">
      <c r="A1931">
        <v>2025</v>
      </c>
      <c r="B1931">
        <v>7</v>
      </c>
      <c r="C1931" t="s">
        <v>55</v>
      </c>
      <c r="D1931" t="s">
        <v>66</v>
      </c>
      <c r="E1931" t="s">
        <v>81</v>
      </c>
      <c r="F1931" s="14">
        <v>39208</v>
      </c>
      <c r="G1931" s="14">
        <v>39208</v>
      </c>
      <c r="H1931">
        <f t="shared" si="60"/>
        <v>0</v>
      </c>
      <c r="I1931" s="20">
        <f t="shared" si="61"/>
        <v>45839</v>
      </c>
    </row>
    <row r="1932" spans="1:9" x14ac:dyDescent="0.2">
      <c r="A1932">
        <v>2025</v>
      </c>
      <c r="B1932">
        <v>7</v>
      </c>
      <c r="C1932" t="s">
        <v>55</v>
      </c>
      <c r="D1932" t="s">
        <v>70</v>
      </c>
      <c r="E1932" t="s">
        <v>68</v>
      </c>
      <c r="F1932" s="14">
        <v>1256613057</v>
      </c>
      <c r="G1932" s="14">
        <v>1256613057</v>
      </c>
      <c r="H1932">
        <f t="shared" si="60"/>
        <v>0</v>
      </c>
      <c r="I1932" s="20">
        <f t="shared" si="61"/>
        <v>45839</v>
      </c>
    </row>
    <row r="1933" spans="1:9" x14ac:dyDescent="0.2">
      <c r="A1933">
        <v>2025</v>
      </c>
      <c r="B1933">
        <v>7</v>
      </c>
      <c r="C1933" t="s">
        <v>64</v>
      </c>
      <c r="D1933" t="s">
        <v>70</v>
      </c>
      <c r="E1933" t="s">
        <v>68</v>
      </c>
      <c r="F1933" s="14">
        <v>1432600</v>
      </c>
      <c r="G1933" s="14">
        <v>1432600</v>
      </c>
      <c r="H1933">
        <f t="shared" si="60"/>
        <v>0</v>
      </c>
      <c r="I1933" s="20">
        <f t="shared" si="61"/>
        <v>45839</v>
      </c>
    </row>
    <row r="1934" spans="1:9" x14ac:dyDescent="0.2">
      <c r="A1934">
        <v>2025</v>
      </c>
      <c r="B1934">
        <v>7</v>
      </c>
      <c r="C1934" t="s">
        <v>64</v>
      </c>
      <c r="D1934" t="s">
        <v>71</v>
      </c>
      <c r="E1934" t="s">
        <v>72</v>
      </c>
      <c r="F1934" s="14">
        <v>12010</v>
      </c>
      <c r="G1934" s="14">
        <v>12010</v>
      </c>
      <c r="H1934">
        <f t="shared" si="60"/>
        <v>0</v>
      </c>
      <c r="I1934" s="20">
        <f t="shared" si="61"/>
        <v>45839</v>
      </c>
    </row>
    <row r="1935" spans="1:9" x14ac:dyDescent="0.2">
      <c r="A1935">
        <v>2025</v>
      </c>
      <c r="B1935">
        <v>8</v>
      </c>
      <c r="C1935" t="s">
        <v>55</v>
      </c>
      <c r="D1935" t="s">
        <v>56</v>
      </c>
      <c r="E1935" t="s">
        <v>80</v>
      </c>
      <c r="F1935" s="14">
        <v>108754354</v>
      </c>
      <c r="G1935" s="14">
        <v>108754354</v>
      </c>
      <c r="H1935">
        <f t="shared" si="60"/>
        <v>0</v>
      </c>
      <c r="I1935" s="20">
        <f t="shared" si="61"/>
        <v>45870</v>
      </c>
    </row>
    <row r="1936" spans="1:9" x14ac:dyDescent="0.2">
      <c r="A1936">
        <v>2025</v>
      </c>
      <c r="B1936">
        <v>8</v>
      </c>
      <c r="C1936" t="s">
        <v>55</v>
      </c>
      <c r="D1936" t="s">
        <v>56</v>
      </c>
      <c r="E1936" t="s">
        <v>57</v>
      </c>
      <c r="F1936" s="14">
        <v>7279376</v>
      </c>
      <c r="G1936" s="14">
        <v>7279376</v>
      </c>
      <c r="H1936">
        <f t="shared" si="60"/>
        <v>0</v>
      </c>
      <c r="I1936" s="20">
        <f t="shared" si="61"/>
        <v>45870</v>
      </c>
    </row>
    <row r="1937" spans="1:9" x14ac:dyDescent="0.2">
      <c r="A1937">
        <v>2025</v>
      </c>
      <c r="B1937">
        <v>8</v>
      </c>
      <c r="C1937" t="s">
        <v>64</v>
      </c>
      <c r="D1937" t="s">
        <v>56</v>
      </c>
      <c r="E1937" t="s">
        <v>80</v>
      </c>
      <c r="F1937" s="14">
        <v>3724763</v>
      </c>
      <c r="G1937" s="14">
        <v>3724763</v>
      </c>
      <c r="H1937">
        <f t="shared" si="60"/>
        <v>0</v>
      </c>
      <c r="I1937" s="20">
        <f t="shared" si="61"/>
        <v>45870</v>
      </c>
    </row>
    <row r="1938" spans="1:9" x14ac:dyDescent="0.2">
      <c r="A1938">
        <v>2025</v>
      </c>
      <c r="B1938">
        <v>8</v>
      </c>
      <c r="C1938" t="s">
        <v>55</v>
      </c>
      <c r="D1938" t="s">
        <v>56</v>
      </c>
      <c r="E1938" t="s">
        <v>81</v>
      </c>
      <c r="F1938" s="14">
        <v>27492</v>
      </c>
      <c r="G1938" s="14">
        <v>27492</v>
      </c>
      <c r="H1938">
        <f t="shared" si="60"/>
        <v>0</v>
      </c>
      <c r="I1938" s="20">
        <f t="shared" si="61"/>
        <v>45870</v>
      </c>
    </row>
    <row r="1939" spans="1:9" x14ac:dyDescent="0.2">
      <c r="A1939">
        <v>2025</v>
      </c>
      <c r="B1939">
        <v>8</v>
      </c>
      <c r="C1939" t="s">
        <v>55</v>
      </c>
      <c r="D1939" t="s">
        <v>60</v>
      </c>
      <c r="E1939" t="s">
        <v>63</v>
      </c>
      <c r="F1939" s="14">
        <v>373640741</v>
      </c>
      <c r="G1939" s="14">
        <v>219788611</v>
      </c>
      <c r="H1939">
        <f t="shared" si="60"/>
        <v>0</v>
      </c>
      <c r="I1939" s="20">
        <f t="shared" si="61"/>
        <v>45870</v>
      </c>
    </row>
    <row r="1940" spans="1:9" x14ac:dyDescent="0.2">
      <c r="A1940">
        <v>2025</v>
      </c>
      <c r="B1940">
        <v>8</v>
      </c>
      <c r="C1940" t="s">
        <v>55</v>
      </c>
      <c r="D1940" t="s">
        <v>60</v>
      </c>
      <c r="E1940" t="s">
        <v>61</v>
      </c>
      <c r="F1940" s="14">
        <v>149243455</v>
      </c>
      <c r="G1940" s="14">
        <v>99494262</v>
      </c>
      <c r="H1940">
        <f t="shared" si="60"/>
        <v>0</v>
      </c>
      <c r="I1940" s="20">
        <f t="shared" si="61"/>
        <v>45870</v>
      </c>
    </row>
    <row r="1941" spans="1:9" x14ac:dyDescent="0.2">
      <c r="A1941">
        <v>2025</v>
      </c>
      <c r="B1941">
        <v>8</v>
      </c>
      <c r="C1941" t="s">
        <v>55</v>
      </c>
      <c r="D1941" t="s">
        <v>60</v>
      </c>
      <c r="E1941" t="s">
        <v>65</v>
      </c>
      <c r="F1941" s="14">
        <v>15680909</v>
      </c>
      <c r="G1941" s="14">
        <v>9800570</v>
      </c>
      <c r="H1941">
        <f t="shared" si="60"/>
        <v>1</v>
      </c>
      <c r="I1941" s="20">
        <f t="shared" si="61"/>
        <v>45870</v>
      </c>
    </row>
    <row r="1942" spans="1:9" x14ac:dyDescent="0.2">
      <c r="A1942">
        <v>2025</v>
      </c>
      <c r="B1942">
        <v>8</v>
      </c>
      <c r="C1942" t="s">
        <v>55</v>
      </c>
      <c r="D1942" t="s">
        <v>60</v>
      </c>
      <c r="E1942" t="s">
        <v>76</v>
      </c>
      <c r="F1942" s="14">
        <v>7299735</v>
      </c>
      <c r="G1942" s="14">
        <v>4562334</v>
      </c>
      <c r="H1942">
        <f t="shared" si="60"/>
        <v>0</v>
      </c>
      <c r="I1942" s="20">
        <f t="shared" si="61"/>
        <v>45870</v>
      </c>
    </row>
    <row r="1943" spans="1:9" x14ac:dyDescent="0.2">
      <c r="A1943">
        <v>2025</v>
      </c>
      <c r="B1943">
        <v>8</v>
      </c>
      <c r="C1943" t="s">
        <v>55</v>
      </c>
      <c r="D1943" t="s">
        <v>66</v>
      </c>
      <c r="E1943" t="s">
        <v>68</v>
      </c>
      <c r="F1943" s="14">
        <v>4944238</v>
      </c>
      <c r="G1943" s="14">
        <v>4944238</v>
      </c>
      <c r="H1943">
        <f t="shared" si="60"/>
        <v>0</v>
      </c>
      <c r="I1943" s="20">
        <f t="shared" si="61"/>
        <v>45870</v>
      </c>
    </row>
    <row r="1944" spans="1:9" x14ac:dyDescent="0.2">
      <c r="A1944">
        <v>2025</v>
      </c>
      <c r="B1944">
        <v>8</v>
      </c>
      <c r="C1944" t="s">
        <v>55</v>
      </c>
      <c r="D1944" t="s">
        <v>66</v>
      </c>
      <c r="E1944" t="s">
        <v>63</v>
      </c>
      <c r="F1944" s="14">
        <v>4451844</v>
      </c>
      <c r="G1944" s="14">
        <v>2618731</v>
      </c>
      <c r="H1944">
        <f t="shared" si="60"/>
        <v>0</v>
      </c>
      <c r="I1944" s="20">
        <f t="shared" si="61"/>
        <v>45870</v>
      </c>
    </row>
    <row r="1945" spans="1:9" x14ac:dyDescent="0.2">
      <c r="A1945">
        <v>2025</v>
      </c>
      <c r="B1945">
        <v>8</v>
      </c>
      <c r="C1945" t="s">
        <v>55</v>
      </c>
      <c r="D1945" t="s">
        <v>66</v>
      </c>
      <c r="E1945" t="s">
        <v>75</v>
      </c>
      <c r="F1945" s="14">
        <v>2948328</v>
      </c>
      <c r="G1945" s="14">
        <v>2105949</v>
      </c>
      <c r="H1945">
        <f t="shared" si="60"/>
        <v>0</v>
      </c>
      <c r="I1945" s="20">
        <f t="shared" si="61"/>
        <v>45870</v>
      </c>
    </row>
    <row r="1946" spans="1:9" x14ac:dyDescent="0.2">
      <c r="A1946">
        <v>2025</v>
      </c>
      <c r="B1946">
        <v>8</v>
      </c>
      <c r="C1946" t="s">
        <v>55</v>
      </c>
      <c r="D1946" t="s">
        <v>66</v>
      </c>
      <c r="E1946" t="s">
        <v>67</v>
      </c>
      <c r="F1946" s="14">
        <v>2754137</v>
      </c>
      <c r="G1946" s="14">
        <v>1836081</v>
      </c>
      <c r="H1946">
        <f t="shared" si="60"/>
        <v>0</v>
      </c>
      <c r="I1946" s="20">
        <f t="shared" si="61"/>
        <v>45870</v>
      </c>
    </row>
    <row r="1947" spans="1:9" x14ac:dyDescent="0.2">
      <c r="A1947">
        <v>2025</v>
      </c>
      <c r="B1947">
        <v>8</v>
      </c>
      <c r="C1947" t="s">
        <v>55</v>
      </c>
      <c r="D1947" t="s">
        <v>66</v>
      </c>
      <c r="E1947" t="s">
        <v>81</v>
      </c>
      <c r="F1947" s="14">
        <v>49240</v>
      </c>
      <c r="G1947" s="14">
        <v>49240</v>
      </c>
      <c r="H1947">
        <f t="shared" si="60"/>
        <v>0</v>
      </c>
      <c r="I1947" s="20">
        <f t="shared" si="61"/>
        <v>45870</v>
      </c>
    </row>
    <row r="1948" spans="1:9" x14ac:dyDescent="0.2">
      <c r="A1948">
        <v>2025</v>
      </c>
      <c r="B1948">
        <v>8</v>
      </c>
      <c r="C1948" t="s">
        <v>55</v>
      </c>
      <c r="D1948" t="s">
        <v>66</v>
      </c>
      <c r="E1948" t="s">
        <v>80</v>
      </c>
      <c r="F1948" s="14">
        <v>43254</v>
      </c>
      <c r="G1948" s="14">
        <v>43254</v>
      </c>
      <c r="H1948">
        <f t="shared" si="60"/>
        <v>0</v>
      </c>
      <c r="I1948" s="20">
        <f t="shared" si="61"/>
        <v>45870</v>
      </c>
    </row>
    <row r="1949" spans="1:9" x14ac:dyDescent="0.2">
      <c r="A1949">
        <v>2025</v>
      </c>
      <c r="B1949">
        <v>8</v>
      </c>
      <c r="C1949" t="s">
        <v>55</v>
      </c>
      <c r="D1949" t="s">
        <v>66</v>
      </c>
      <c r="E1949" t="s">
        <v>74</v>
      </c>
      <c r="F1949" s="14">
        <v>31702</v>
      </c>
      <c r="G1949" s="14">
        <v>28820</v>
      </c>
      <c r="H1949">
        <f t="shared" si="60"/>
        <v>0</v>
      </c>
      <c r="I1949" s="20">
        <f t="shared" si="61"/>
        <v>45870</v>
      </c>
    </row>
    <row r="1950" spans="1:9" x14ac:dyDescent="0.2">
      <c r="A1950">
        <v>2025</v>
      </c>
      <c r="B1950">
        <v>8</v>
      </c>
      <c r="C1950" t="s">
        <v>55</v>
      </c>
      <c r="D1950" t="s">
        <v>70</v>
      </c>
      <c r="E1950" t="s">
        <v>68</v>
      </c>
      <c r="F1950" s="14">
        <v>1220779665</v>
      </c>
      <c r="G1950" s="14">
        <v>1220779665</v>
      </c>
      <c r="H1950">
        <f t="shared" si="60"/>
        <v>0</v>
      </c>
      <c r="I1950" s="20">
        <f t="shared" si="61"/>
        <v>45870</v>
      </c>
    </row>
    <row r="1951" spans="1:9" x14ac:dyDescent="0.2">
      <c r="A1951">
        <v>2025</v>
      </c>
      <c r="B1951">
        <v>8</v>
      </c>
      <c r="C1951" t="s">
        <v>64</v>
      </c>
      <c r="D1951" t="s">
        <v>70</v>
      </c>
      <c r="E1951" t="s">
        <v>68</v>
      </c>
      <c r="F1951" s="14">
        <v>1397724</v>
      </c>
      <c r="G1951" s="14">
        <v>1397724</v>
      </c>
      <c r="H1951">
        <f t="shared" si="60"/>
        <v>0</v>
      </c>
      <c r="I1951" s="20">
        <f t="shared" si="61"/>
        <v>45870</v>
      </c>
    </row>
    <row r="1952" spans="1:9" x14ac:dyDescent="0.2">
      <c r="A1952">
        <v>2025</v>
      </c>
      <c r="B1952">
        <v>8</v>
      </c>
      <c r="C1952" t="s">
        <v>64</v>
      </c>
      <c r="D1952" t="s">
        <v>71</v>
      </c>
      <c r="E1952" t="s">
        <v>72</v>
      </c>
      <c r="F1952" s="14">
        <v>11885</v>
      </c>
      <c r="G1952" s="14">
        <v>11885</v>
      </c>
      <c r="H1952">
        <f t="shared" si="60"/>
        <v>0</v>
      </c>
      <c r="I1952" s="20">
        <f t="shared" si="61"/>
        <v>45870</v>
      </c>
    </row>
    <row r="1953" spans="1:9" x14ac:dyDescent="0.2">
      <c r="A1953">
        <v>2025</v>
      </c>
      <c r="B1953">
        <v>9</v>
      </c>
      <c r="C1953" t="s">
        <v>55</v>
      </c>
      <c r="D1953" t="s">
        <v>56</v>
      </c>
      <c r="E1953" t="s">
        <v>80</v>
      </c>
      <c r="F1953" s="14">
        <v>102913666</v>
      </c>
      <c r="G1953" s="14">
        <v>102913666</v>
      </c>
      <c r="H1953">
        <f t="shared" si="60"/>
        <v>0</v>
      </c>
      <c r="I1953" s="20">
        <f t="shared" si="61"/>
        <v>45901</v>
      </c>
    </row>
    <row r="1954" spans="1:9" x14ac:dyDescent="0.2">
      <c r="A1954">
        <v>2025</v>
      </c>
      <c r="B1954">
        <v>9</v>
      </c>
      <c r="C1954" t="s">
        <v>55</v>
      </c>
      <c r="D1954" t="s">
        <v>56</v>
      </c>
      <c r="E1954" t="s">
        <v>57</v>
      </c>
      <c r="F1954" s="14">
        <v>7841215</v>
      </c>
      <c r="G1954" s="14">
        <v>7841215</v>
      </c>
      <c r="H1954">
        <f t="shared" si="60"/>
        <v>0</v>
      </c>
      <c r="I1954" s="20">
        <f t="shared" si="61"/>
        <v>45901</v>
      </c>
    </row>
    <row r="1955" spans="1:9" x14ac:dyDescent="0.2">
      <c r="A1955">
        <v>2025</v>
      </c>
      <c r="B1955">
        <v>9</v>
      </c>
      <c r="C1955" t="s">
        <v>64</v>
      </c>
      <c r="D1955" t="s">
        <v>56</v>
      </c>
      <c r="E1955" t="s">
        <v>80</v>
      </c>
      <c r="F1955" s="14">
        <v>3420627</v>
      </c>
      <c r="G1955" s="14">
        <v>3420627</v>
      </c>
      <c r="H1955">
        <f t="shared" si="60"/>
        <v>0</v>
      </c>
      <c r="I1955" s="20">
        <f t="shared" si="61"/>
        <v>45901</v>
      </c>
    </row>
    <row r="1956" spans="1:9" x14ac:dyDescent="0.2">
      <c r="A1956">
        <v>2025</v>
      </c>
      <c r="B1956">
        <v>9</v>
      </c>
      <c r="C1956" t="s">
        <v>55</v>
      </c>
      <c r="D1956" t="s">
        <v>56</v>
      </c>
      <c r="E1956" t="s">
        <v>81</v>
      </c>
      <c r="F1956" s="14">
        <v>39717</v>
      </c>
      <c r="G1956" s="14">
        <v>39717</v>
      </c>
      <c r="H1956">
        <f t="shared" si="60"/>
        <v>0</v>
      </c>
      <c r="I1956" s="20">
        <f t="shared" si="61"/>
        <v>45901</v>
      </c>
    </row>
    <row r="1957" spans="1:9" x14ac:dyDescent="0.2">
      <c r="A1957">
        <v>2025</v>
      </c>
      <c r="B1957">
        <v>9</v>
      </c>
      <c r="C1957" t="s">
        <v>55</v>
      </c>
      <c r="D1957" t="s">
        <v>60</v>
      </c>
      <c r="E1957" t="s">
        <v>63</v>
      </c>
      <c r="F1957" s="14">
        <v>402715701</v>
      </c>
      <c r="G1957" s="14">
        <v>236891528</v>
      </c>
      <c r="H1957">
        <f t="shared" si="60"/>
        <v>0</v>
      </c>
      <c r="I1957" s="20">
        <f t="shared" si="61"/>
        <v>45901</v>
      </c>
    </row>
    <row r="1958" spans="1:9" x14ac:dyDescent="0.2">
      <c r="A1958">
        <v>2025</v>
      </c>
      <c r="B1958">
        <v>9</v>
      </c>
      <c r="C1958" t="s">
        <v>55</v>
      </c>
      <c r="D1958" t="s">
        <v>60</v>
      </c>
      <c r="E1958" t="s">
        <v>61</v>
      </c>
      <c r="F1958" s="14">
        <v>153370546</v>
      </c>
      <c r="G1958" s="14">
        <v>102245595</v>
      </c>
      <c r="H1958">
        <f t="shared" si="60"/>
        <v>0</v>
      </c>
      <c r="I1958" s="20">
        <f t="shared" si="61"/>
        <v>45901</v>
      </c>
    </row>
    <row r="1959" spans="1:9" x14ac:dyDescent="0.2">
      <c r="A1959">
        <v>2025</v>
      </c>
      <c r="B1959">
        <v>9</v>
      </c>
      <c r="C1959" t="s">
        <v>55</v>
      </c>
      <c r="D1959" t="s">
        <v>60</v>
      </c>
      <c r="E1959" t="s">
        <v>76</v>
      </c>
      <c r="F1959" s="14">
        <v>36503175</v>
      </c>
      <c r="G1959" s="14">
        <v>22814484</v>
      </c>
      <c r="H1959">
        <f t="shared" si="60"/>
        <v>0</v>
      </c>
      <c r="I1959" s="20">
        <f t="shared" si="61"/>
        <v>45901</v>
      </c>
    </row>
    <row r="1960" spans="1:9" x14ac:dyDescent="0.2">
      <c r="A1960">
        <v>2025</v>
      </c>
      <c r="B1960">
        <v>9</v>
      </c>
      <c r="C1960" t="s">
        <v>55</v>
      </c>
      <c r="D1960" t="s">
        <v>60</v>
      </c>
      <c r="E1960" t="s">
        <v>65</v>
      </c>
      <c r="F1960" s="14">
        <v>35649722</v>
      </c>
      <c r="G1960" s="14">
        <v>22281075</v>
      </c>
      <c r="H1960">
        <f t="shared" si="60"/>
        <v>1</v>
      </c>
      <c r="I1960" s="20">
        <f t="shared" si="61"/>
        <v>45901</v>
      </c>
    </row>
    <row r="1961" spans="1:9" x14ac:dyDescent="0.2">
      <c r="A1961">
        <v>2025</v>
      </c>
      <c r="B1961">
        <v>9</v>
      </c>
      <c r="C1961" t="s">
        <v>64</v>
      </c>
      <c r="D1961" t="s">
        <v>60</v>
      </c>
      <c r="E1961" t="s">
        <v>63</v>
      </c>
      <c r="F1961" s="14">
        <v>22307582</v>
      </c>
      <c r="G1961" s="14">
        <v>13122107</v>
      </c>
      <c r="H1961">
        <f t="shared" si="60"/>
        <v>0</v>
      </c>
      <c r="I1961" s="20">
        <f t="shared" si="61"/>
        <v>45901</v>
      </c>
    </row>
    <row r="1962" spans="1:9" x14ac:dyDescent="0.2">
      <c r="A1962">
        <v>2025</v>
      </c>
      <c r="B1962">
        <v>9</v>
      </c>
      <c r="C1962" t="s">
        <v>62</v>
      </c>
      <c r="D1962" t="s">
        <v>60</v>
      </c>
      <c r="E1962" t="s">
        <v>65</v>
      </c>
      <c r="F1962" s="14">
        <v>9355590</v>
      </c>
      <c r="G1962" s="14">
        <v>5847244</v>
      </c>
      <c r="H1962">
        <f t="shared" si="60"/>
        <v>1</v>
      </c>
      <c r="I1962" s="20">
        <f t="shared" si="61"/>
        <v>45901</v>
      </c>
    </row>
    <row r="1963" spans="1:9" x14ac:dyDescent="0.2">
      <c r="A1963">
        <v>2025</v>
      </c>
      <c r="B1963">
        <v>9</v>
      </c>
      <c r="C1963" t="s">
        <v>64</v>
      </c>
      <c r="D1963" t="s">
        <v>60</v>
      </c>
      <c r="E1963" t="s">
        <v>61</v>
      </c>
      <c r="F1963" s="14">
        <v>2331688</v>
      </c>
      <c r="G1963" s="14">
        <v>1554458</v>
      </c>
      <c r="H1963">
        <f t="shared" si="60"/>
        <v>0</v>
      </c>
      <c r="I1963" s="20">
        <f t="shared" si="61"/>
        <v>45901</v>
      </c>
    </row>
    <row r="1964" spans="1:9" x14ac:dyDescent="0.2">
      <c r="A1964">
        <v>2025</v>
      </c>
      <c r="B1964">
        <v>9</v>
      </c>
      <c r="C1964" t="s">
        <v>55</v>
      </c>
      <c r="D1964" t="s">
        <v>66</v>
      </c>
      <c r="E1964" t="s">
        <v>75</v>
      </c>
      <c r="F1964" s="14">
        <v>7333040</v>
      </c>
      <c r="G1964" s="14">
        <v>5237886</v>
      </c>
      <c r="H1964">
        <f t="shared" si="60"/>
        <v>0</v>
      </c>
      <c r="I1964" s="20">
        <f t="shared" si="61"/>
        <v>45901</v>
      </c>
    </row>
    <row r="1965" spans="1:9" x14ac:dyDescent="0.2">
      <c r="A1965">
        <v>2025</v>
      </c>
      <c r="B1965">
        <v>9</v>
      </c>
      <c r="C1965" t="s">
        <v>55</v>
      </c>
      <c r="D1965" t="s">
        <v>66</v>
      </c>
      <c r="E1965" t="s">
        <v>68</v>
      </c>
      <c r="F1965" s="14">
        <v>5522580</v>
      </c>
      <c r="G1965" s="14">
        <v>5522580</v>
      </c>
      <c r="H1965">
        <f t="shared" si="60"/>
        <v>0</v>
      </c>
      <c r="I1965" s="20">
        <f t="shared" si="61"/>
        <v>45901</v>
      </c>
    </row>
    <row r="1966" spans="1:9" x14ac:dyDescent="0.2">
      <c r="A1966">
        <v>2025</v>
      </c>
      <c r="B1966">
        <v>9</v>
      </c>
      <c r="C1966" t="s">
        <v>55</v>
      </c>
      <c r="D1966" t="s">
        <v>66</v>
      </c>
      <c r="E1966" t="s">
        <v>63</v>
      </c>
      <c r="F1966" s="14">
        <v>4118395</v>
      </c>
      <c r="G1966" s="14">
        <v>2422585</v>
      </c>
      <c r="H1966">
        <f t="shared" si="60"/>
        <v>0</v>
      </c>
      <c r="I1966" s="20">
        <f t="shared" si="61"/>
        <v>45901</v>
      </c>
    </row>
    <row r="1967" spans="1:9" x14ac:dyDescent="0.2">
      <c r="A1967">
        <v>2025</v>
      </c>
      <c r="B1967">
        <v>9</v>
      </c>
      <c r="C1967" t="s">
        <v>55</v>
      </c>
      <c r="D1967" t="s">
        <v>66</v>
      </c>
      <c r="E1967" t="s">
        <v>67</v>
      </c>
      <c r="F1967" s="14">
        <v>3890076</v>
      </c>
      <c r="G1967" s="14">
        <v>2593370</v>
      </c>
      <c r="H1967">
        <f t="shared" si="60"/>
        <v>0</v>
      </c>
      <c r="I1967" s="20">
        <f t="shared" si="61"/>
        <v>45901</v>
      </c>
    </row>
    <row r="1968" spans="1:9" x14ac:dyDescent="0.2">
      <c r="A1968">
        <v>2025</v>
      </c>
      <c r="B1968">
        <v>9</v>
      </c>
      <c r="C1968" t="s">
        <v>55</v>
      </c>
      <c r="D1968" t="s">
        <v>66</v>
      </c>
      <c r="E1968" t="s">
        <v>69</v>
      </c>
      <c r="F1968" s="14">
        <v>754979</v>
      </c>
      <c r="G1968" s="14">
        <v>471861</v>
      </c>
      <c r="H1968">
        <f t="shared" si="60"/>
        <v>0</v>
      </c>
      <c r="I1968" s="20">
        <f t="shared" si="61"/>
        <v>45901</v>
      </c>
    </row>
    <row r="1969" spans="1:9" x14ac:dyDescent="0.2">
      <c r="A1969">
        <v>2025</v>
      </c>
      <c r="B1969">
        <v>9</v>
      </c>
      <c r="C1969" t="s">
        <v>55</v>
      </c>
      <c r="D1969" t="s">
        <v>66</v>
      </c>
      <c r="E1969" t="s">
        <v>74</v>
      </c>
      <c r="F1969" s="14">
        <v>370035</v>
      </c>
      <c r="G1969" s="14">
        <v>336395</v>
      </c>
      <c r="H1969">
        <f t="shared" si="60"/>
        <v>0</v>
      </c>
      <c r="I1969" s="20">
        <f t="shared" si="61"/>
        <v>45901</v>
      </c>
    </row>
    <row r="1970" spans="1:9" x14ac:dyDescent="0.2">
      <c r="A1970">
        <v>2025</v>
      </c>
      <c r="B1970">
        <v>9</v>
      </c>
      <c r="C1970" t="s">
        <v>55</v>
      </c>
      <c r="D1970" t="s">
        <v>66</v>
      </c>
      <c r="E1970" t="s">
        <v>81</v>
      </c>
      <c r="F1970" s="14">
        <v>60642</v>
      </c>
      <c r="G1970" s="14">
        <v>60642</v>
      </c>
      <c r="H1970">
        <f t="shared" si="60"/>
        <v>0</v>
      </c>
      <c r="I1970" s="20">
        <f t="shared" si="61"/>
        <v>45901</v>
      </c>
    </row>
    <row r="1971" spans="1:9" x14ac:dyDescent="0.2">
      <c r="A1971">
        <v>2025</v>
      </c>
      <c r="B1971">
        <v>9</v>
      </c>
      <c r="C1971" t="s">
        <v>55</v>
      </c>
      <c r="D1971" t="s">
        <v>66</v>
      </c>
      <c r="E1971" t="s">
        <v>80</v>
      </c>
      <c r="F1971" s="14">
        <v>41836</v>
      </c>
      <c r="G1971" s="14">
        <v>41836</v>
      </c>
      <c r="H1971">
        <f t="shared" si="60"/>
        <v>0</v>
      </c>
      <c r="I1971" s="20">
        <f t="shared" si="61"/>
        <v>45901</v>
      </c>
    </row>
    <row r="1972" spans="1:9" x14ac:dyDescent="0.2">
      <c r="A1972">
        <v>2025</v>
      </c>
      <c r="B1972">
        <v>9</v>
      </c>
      <c r="C1972" t="s">
        <v>55</v>
      </c>
      <c r="D1972" t="s">
        <v>70</v>
      </c>
      <c r="E1972" t="s">
        <v>68</v>
      </c>
      <c r="F1972" s="14">
        <v>1230861878</v>
      </c>
      <c r="G1972" s="14">
        <v>1230861878</v>
      </c>
      <c r="H1972">
        <f t="shared" si="60"/>
        <v>0</v>
      </c>
      <c r="I1972" s="20">
        <f t="shared" si="61"/>
        <v>45901</v>
      </c>
    </row>
    <row r="1973" spans="1:9" x14ac:dyDescent="0.2">
      <c r="A1973">
        <v>2025</v>
      </c>
      <c r="B1973">
        <v>9</v>
      </c>
      <c r="C1973" t="s">
        <v>64</v>
      </c>
      <c r="D1973" t="s">
        <v>70</v>
      </c>
      <c r="E1973" t="s">
        <v>68</v>
      </c>
      <c r="F1973" s="14">
        <v>1085448</v>
      </c>
      <c r="G1973" s="14">
        <v>1085448</v>
      </c>
      <c r="H1973">
        <f t="shared" si="60"/>
        <v>0</v>
      </c>
      <c r="I1973" s="20">
        <f t="shared" si="61"/>
        <v>45901</v>
      </c>
    </row>
    <row r="1974" spans="1:9" x14ac:dyDescent="0.2">
      <c r="A1974">
        <v>2025</v>
      </c>
      <c r="B1974">
        <v>9</v>
      </c>
      <c r="C1974" t="s">
        <v>64</v>
      </c>
      <c r="D1974" t="s">
        <v>71</v>
      </c>
      <c r="E1974" t="s">
        <v>72</v>
      </c>
      <c r="F1974" s="14">
        <v>17965</v>
      </c>
      <c r="G1974" s="14">
        <v>17965</v>
      </c>
      <c r="H1974">
        <f t="shared" si="60"/>
        <v>0</v>
      </c>
      <c r="I1974" s="20">
        <f t="shared" si="61"/>
        <v>45901</v>
      </c>
    </row>
    <row r="1975" spans="1:9" x14ac:dyDescent="0.2">
      <c r="A1975">
        <v>2025</v>
      </c>
      <c r="B1975">
        <v>10</v>
      </c>
      <c r="C1975" t="s">
        <v>55</v>
      </c>
      <c r="D1975" t="s">
        <v>56</v>
      </c>
      <c r="E1975" t="s">
        <v>80</v>
      </c>
      <c r="F1975" s="14">
        <v>104395716</v>
      </c>
      <c r="G1975" s="14">
        <v>104395716</v>
      </c>
      <c r="H1975">
        <f t="shared" si="60"/>
        <v>0</v>
      </c>
      <c r="I1975" s="20">
        <f t="shared" si="61"/>
        <v>45931</v>
      </c>
    </row>
    <row r="1976" spans="1:9" x14ac:dyDescent="0.2">
      <c r="A1976">
        <v>2025</v>
      </c>
      <c r="B1976">
        <v>10</v>
      </c>
      <c r="C1976" t="s">
        <v>55</v>
      </c>
      <c r="D1976" t="s">
        <v>56</v>
      </c>
      <c r="E1976" t="s">
        <v>57</v>
      </c>
      <c r="F1976" s="14">
        <v>6560309</v>
      </c>
      <c r="G1976" s="14">
        <v>6560309</v>
      </c>
      <c r="H1976">
        <f t="shared" si="60"/>
        <v>0</v>
      </c>
      <c r="I1976" s="20">
        <f t="shared" si="61"/>
        <v>45931</v>
      </c>
    </row>
    <row r="1977" spans="1:9" x14ac:dyDescent="0.2">
      <c r="A1977">
        <v>2025</v>
      </c>
      <c r="B1977">
        <v>10</v>
      </c>
      <c r="C1977" t="s">
        <v>64</v>
      </c>
      <c r="D1977" t="s">
        <v>56</v>
      </c>
      <c r="E1977" t="s">
        <v>80</v>
      </c>
      <c r="F1977" s="14">
        <v>3555515</v>
      </c>
      <c r="G1977" s="14">
        <v>3555515</v>
      </c>
      <c r="H1977">
        <f t="shared" si="60"/>
        <v>0</v>
      </c>
      <c r="I1977" s="20">
        <f t="shared" si="61"/>
        <v>45931</v>
      </c>
    </row>
    <row r="1978" spans="1:9" x14ac:dyDescent="0.2">
      <c r="A1978">
        <v>2025</v>
      </c>
      <c r="B1978">
        <v>10</v>
      </c>
      <c r="C1978" t="s">
        <v>55</v>
      </c>
      <c r="D1978" t="s">
        <v>56</v>
      </c>
      <c r="E1978" t="s">
        <v>81</v>
      </c>
      <c r="F1978" s="14">
        <v>57723</v>
      </c>
      <c r="G1978" s="14">
        <v>57723</v>
      </c>
      <c r="H1978">
        <f t="shared" si="60"/>
        <v>0</v>
      </c>
      <c r="I1978" s="20">
        <f t="shared" si="61"/>
        <v>45931</v>
      </c>
    </row>
    <row r="1979" spans="1:9" x14ac:dyDescent="0.2">
      <c r="A1979">
        <v>2025</v>
      </c>
      <c r="B1979">
        <v>10</v>
      </c>
      <c r="C1979" t="s">
        <v>55</v>
      </c>
      <c r="D1979" t="s">
        <v>60</v>
      </c>
      <c r="E1979" t="s">
        <v>63</v>
      </c>
      <c r="F1979" s="14">
        <v>421258917</v>
      </c>
      <c r="G1979" s="14">
        <v>247799303</v>
      </c>
      <c r="H1979">
        <f t="shared" si="60"/>
        <v>0</v>
      </c>
      <c r="I1979" s="20">
        <f t="shared" si="61"/>
        <v>45931</v>
      </c>
    </row>
    <row r="1980" spans="1:9" x14ac:dyDescent="0.2">
      <c r="A1980">
        <v>2025</v>
      </c>
      <c r="B1980">
        <v>10</v>
      </c>
      <c r="C1980" t="s">
        <v>55</v>
      </c>
      <c r="D1980" t="s">
        <v>60</v>
      </c>
      <c r="E1980" t="s">
        <v>61</v>
      </c>
      <c r="F1980" s="14">
        <v>150545363</v>
      </c>
      <c r="G1980" s="14">
        <v>100362309</v>
      </c>
      <c r="H1980">
        <f t="shared" si="60"/>
        <v>0</v>
      </c>
      <c r="I1980" s="20">
        <f t="shared" si="61"/>
        <v>45931</v>
      </c>
    </row>
    <row r="1981" spans="1:9" x14ac:dyDescent="0.2">
      <c r="A1981">
        <v>2025</v>
      </c>
      <c r="B1981">
        <v>10</v>
      </c>
      <c r="C1981" t="s">
        <v>64</v>
      </c>
      <c r="D1981" t="s">
        <v>60</v>
      </c>
      <c r="E1981" t="s">
        <v>63</v>
      </c>
      <c r="F1981" s="14">
        <v>42826412</v>
      </c>
      <c r="G1981" s="14">
        <v>25192007</v>
      </c>
      <c r="H1981">
        <f t="shared" si="60"/>
        <v>0</v>
      </c>
      <c r="I1981" s="20">
        <f t="shared" si="61"/>
        <v>45931</v>
      </c>
    </row>
    <row r="1982" spans="1:9" x14ac:dyDescent="0.2">
      <c r="A1982">
        <v>2025</v>
      </c>
      <c r="B1982">
        <v>10</v>
      </c>
      <c r="C1982" t="s">
        <v>55</v>
      </c>
      <c r="D1982" t="s">
        <v>60</v>
      </c>
      <c r="E1982" t="s">
        <v>65</v>
      </c>
      <c r="F1982" s="14">
        <v>42572218</v>
      </c>
      <c r="G1982" s="14">
        <v>26607638</v>
      </c>
      <c r="H1982">
        <f t="shared" si="60"/>
        <v>1</v>
      </c>
      <c r="I1982" s="20">
        <f t="shared" si="61"/>
        <v>45931</v>
      </c>
    </row>
    <row r="1983" spans="1:9" x14ac:dyDescent="0.2">
      <c r="A1983">
        <v>2025</v>
      </c>
      <c r="B1983">
        <v>10</v>
      </c>
      <c r="C1983" t="s">
        <v>64</v>
      </c>
      <c r="D1983" t="s">
        <v>60</v>
      </c>
      <c r="E1983" t="s">
        <v>61</v>
      </c>
      <c r="F1983" s="14">
        <v>10029669</v>
      </c>
      <c r="G1983" s="14">
        <v>6686443</v>
      </c>
      <c r="H1983">
        <f t="shared" si="60"/>
        <v>0</v>
      </c>
      <c r="I1983" s="20">
        <f t="shared" si="61"/>
        <v>45931</v>
      </c>
    </row>
    <row r="1984" spans="1:9" x14ac:dyDescent="0.2">
      <c r="A1984">
        <v>2025</v>
      </c>
      <c r="B1984">
        <v>10</v>
      </c>
      <c r="C1984" t="s">
        <v>55</v>
      </c>
      <c r="D1984" t="s">
        <v>66</v>
      </c>
      <c r="E1984" t="s">
        <v>75</v>
      </c>
      <c r="F1984" s="14">
        <v>8835419</v>
      </c>
      <c r="G1984" s="14">
        <v>6311014</v>
      </c>
      <c r="H1984">
        <f t="shared" si="60"/>
        <v>0</v>
      </c>
      <c r="I1984" s="20">
        <f t="shared" si="61"/>
        <v>45931</v>
      </c>
    </row>
    <row r="1985" spans="1:9" x14ac:dyDescent="0.2">
      <c r="A1985">
        <v>2025</v>
      </c>
      <c r="B1985">
        <v>10</v>
      </c>
      <c r="C1985" t="s">
        <v>55</v>
      </c>
      <c r="D1985" t="s">
        <v>66</v>
      </c>
      <c r="E1985" t="s">
        <v>63</v>
      </c>
      <c r="F1985" s="14">
        <v>8178154</v>
      </c>
      <c r="G1985" s="14">
        <v>4810678</v>
      </c>
      <c r="H1985">
        <f t="shared" si="60"/>
        <v>0</v>
      </c>
      <c r="I1985" s="20">
        <f t="shared" si="61"/>
        <v>45931</v>
      </c>
    </row>
    <row r="1986" spans="1:9" x14ac:dyDescent="0.2">
      <c r="A1986">
        <v>2025</v>
      </c>
      <c r="B1986">
        <v>10</v>
      </c>
      <c r="C1986" t="s">
        <v>55</v>
      </c>
      <c r="D1986" t="s">
        <v>66</v>
      </c>
      <c r="E1986" t="s">
        <v>67</v>
      </c>
      <c r="F1986" s="14">
        <v>5480100</v>
      </c>
      <c r="G1986" s="14">
        <v>3653379</v>
      </c>
      <c r="H1986">
        <f t="shared" si="60"/>
        <v>0</v>
      </c>
      <c r="I1986" s="20">
        <f t="shared" si="61"/>
        <v>45931</v>
      </c>
    </row>
    <row r="1987" spans="1:9" x14ac:dyDescent="0.2">
      <c r="A1987">
        <v>2025</v>
      </c>
      <c r="B1987">
        <v>10</v>
      </c>
      <c r="C1987" t="s">
        <v>55</v>
      </c>
      <c r="D1987" t="s">
        <v>66</v>
      </c>
      <c r="E1987" t="s">
        <v>68</v>
      </c>
      <c r="F1987" s="14">
        <v>5158737</v>
      </c>
      <c r="G1987" s="14">
        <v>5158737</v>
      </c>
      <c r="H1987">
        <f t="shared" ref="H1987:H2050" si="62">--ISNUMBER(SEARCH("Jet Fuel",E1987))</f>
        <v>0</v>
      </c>
      <c r="I1987" s="20">
        <f t="shared" ref="I1987:I2050" si="63">DATE(A1987,B1987,1)</f>
        <v>45931</v>
      </c>
    </row>
    <row r="1988" spans="1:9" x14ac:dyDescent="0.2">
      <c r="A1988">
        <v>2025</v>
      </c>
      <c r="B1988">
        <v>10</v>
      </c>
      <c r="C1988" t="s">
        <v>55</v>
      </c>
      <c r="D1988" t="s">
        <v>66</v>
      </c>
      <c r="E1988" t="s">
        <v>74</v>
      </c>
      <c r="F1988" s="14">
        <v>759623</v>
      </c>
      <c r="G1988" s="14">
        <v>690566</v>
      </c>
      <c r="H1988">
        <f t="shared" si="62"/>
        <v>0</v>
      </c>
      <c r="I1988" s="20">
        <f t="shared" si="63"/>
        <v>45931</v>
      </c>
    </row>
    <row r="1989" spans="1:9" x14ac:dyDescent="0.2">
      <c r="A1989">
        <v>2025</v>
      </c>
      <c r="B1989">
        <v>10</v>
      </c>
      <c r="C1989" t="s">
        <v>55</v>
      </c>
      <c r="D1989" t="s">
        <v>66</v>
      </c>
      <c r="E1989" t="s">
        <v>69</v>
      </c>
      <c r="F1989" s="14">
        <v>87926</v>
      </c>
      <c r="G1989" s="14">
        <v>54954</v>
      </c>
      <c r="H1989">
        <f t="shared" si="62"/>
        <v>0</v>
      </c>
      <c r="I1989" s="20">
        <f t="shared" si="63"/>
        <v>45931</v>
      </c>
    </row>
    <row r="1990" spans="1:9" x14ac:dyDescent="0.2">
      <c r="A1990">
        <v>2025</v>
      </c>
      <c r="B1990">
        <v>10</v>
      </c>
      <c r="C1990" t="s">
        <v>55</v>
      </c>
      <c r="D1990" t="s">
        <v>66</v>
      </c>
      <c r="E1990" t="s">
        <v>81</v>
      </c>
      <c r="F1990" s="14">
        <v>73083</v>
      </c>
      <c r="G1990" s="14">
        <v>73083</v>
      </c>
      <c r="H1990">
        <f t="shared" si="62"/>
        <v>0</v>
      </c>
      <c r="I1990" s="20">
        <f t="shared" si="63"/>
        <v>45931</v>
      </c>
    </row>
    <row r="1991" spans="1:9" x14ac:dyDescent="0.2">
      <c r="A1991">
        <v>2025</v>
      </c>
      <c r="B1991">
        <v>10</v>
      </c>
      <c r="C1991" t="s">
        <v>55</v>
      </c>
      <c r="D1991" t="s">
        <v>66</v>
      </c>
      <c r="E1991" t="s">
        <v>80</v>
      </c>
      <c r="F1991" s="14">
        <v>28982</v>
      </c>
      <c r="G1991" s="14">
        <v>28982</v>
      </c>
      <c r="H1991">
        <f t="shared" si="62"/>
        <v>0</v>
      </c>
      <c r="I1991" s="20">
        <f t="shared" si="63"/>
        <v>45931</v>
      </c>
    </row>
    <row r="1992" spans="1:9" x14ac:dyDescent="0.2">
      <c r="A1992">
        <v>2025</v>
      </c>
      <c r="B1992">
        <v>10</v>
      </c>
      <c r="C1992" t="s">
        <v>55</v>
      </c>
      <c r="D1992" t="s">
        <v>70</v>
      </c>
      <c r="E1992" t="s">
        <v>68</v>
      </c>
      <c r="F1992" s="14">
        <v>1281097480</v>
      </c>
      <c r="G1992" s="14">
        <v>1281097480</v>
      </c>
      <c r="H1992">
        <f t="shared" si="62"/>
        <v>0</v>
      </c>
      <c r="I1992" s="20">
        <f t="shared" si="63"/>
        <v>45931</v>
      </c>
    </row>
    <row r="1993" spans="1:9" x14ac:dyDescent="0.2">
      <c r="A1993">
        <v>2025</v>
      </c>
      <c r="B1993">
        <v>10</v>
      </c>
      <c r="C1993" t="s">
        <v>64</v>
      </c>
      <c r="D1993" t="s">
        <v>70</v>
      </c>
      <c r="E1993" t="s">
        <v>68</v>
      </c>
      <c r="F1993" s="14">
        <v>1340760</v>
      </c>
      <c r="G1993" s="14">
        <v>1340760</v>
      </c>
      <c r="H1993">
        <f t="shared" si="62"/>
        <v>0</v>
      </c>
      <c r="I1993" s="20">
        <f t="shared" si="63"/>
        <v>45931</v>
      </c>
    </row>
    <row r="1994" spans="1:9" x14ac:dyDescent="0.2">
      <c r="A1994">
        <v>2025</v>
      </c>
      <c r="B1994">
        <v>10</v>
      </c>
      <c r="C1994" t="s">
        <v>64</v>
      </c>
      <c r="D1994" t="s">
        <v>71</v>
      </c>
      <c r="E1994" t="s">
        <v>72</v>
      </c>
      <c r="F1994" s="14">
        <v>41694</v>
      </c>
      <c r="G1994" s="14">
        <v>41694</v>
      </c>
      <c r="H1994">
        <f t="shared" si="62"/>
        <v>0</v>
      </c>
      <c r="I1994" s="20">
        <f t="shared" si="63"/>
        <v>45931</v>
      </c>
    </row>
    <row r="1995" spans="1:9" x14ac:dyDescent="0.2">
      <c r="A1995">
        <v>2025</v>
      </c>
      <c r="B1995">
        <v>11</v>
      </c>
      <c r="C1995" t="s">
        <v>55</v>
      </c>
      <c r="D1995" t="s">
        <v>56</v>
      </c>
      <c r="E1995" t="s">
        <v>80</v>
      </c>
      <c r="F1995" s="14">
        <v>103533927</v>
      </c>
      <c r="G1995" s="14">
        <v>103533927</v>
      </c>
      <c r="H1995">
        <f t="shared" si="62"/>
        <v>0</v>
      </c>
      <c r="I1995" s="20">
        <f t="shared" si="63"/>
        <v>45962</v>
      </c>
    </row>
    <row r="1996" spans="1:9" x14ac:dyDescent="0.2">
      <c r="A1996">
        <v>2025</v>
      </c>
      <c r="B1996">
        <v>11</v>
      </c>
      <c r="C1996" t="s">
        <v>55</v>
      </c>
      <c r="D1996" t="s">
        <v>56</v>
      </c>
      <c r="E1996" t="s">
        <v>57</v>
      </c>
      <c r="F1996" s="14">
        <v>5578554</v>
      </c>
      <c r="G1996" s="14">
        <v>5578554</v>
      </c>
      <c r="H1996">
        <f t="shared" si="62"/>
        <v>0</v>
      </c>
      <c r="I1996" s="20">
        <f t="shared" si="63"/>
        <v>45962</v>
      </c>
    </row>
    <row r="1997" spans="1:9" x14ac:dyDescent="0.2">
      <c r="A1997">
        <v>2025</v>
      </c>
      <c r="B1997">
        <v>11</v>
      </c>
      <c r="C1997" t="s">
        <v>64</v>
      </c>
      <c r="D1997" t="s">
        <v>56</v>
      </c>
      <c r="E1997" t="s">
        <v>80</v>
      </c>
      <c r="F1997" s="14">
        <v>3480151</v>
      </c>
      <c r="G1997" s="14">
        <v>3480151</v>
      </c>
      <c r="H1997">
        <f t="shared" si="62"/>
        <v>0</v>
      </c>
      <c r="I1997" s="20">
        <f t="shared" si="63"/>
        <v>45962</v>
      </c>
    </row>
    <row r="1998" spans="1:9" x14ac:dyDescent="0.2">
      <c r="A1998">
        <v>2025</v>
      </c>
      <c r="B1998">
        <v>11</v>
      </c>
      <c r="C1998" t="s">
        <v>55</v>
      </c>
      <c r="D1998" t="s">
        <v>56</v>
      </c>
      <c r="E1998" t="s">
        <v>81</v>
      </c>
      <c r="F1998" s="14">
        <v>48360</v>
      </c>
      <c r="G1998" s="14">
        <v>48360</v>
      </c>
      <c r="H1998">
        <f t="shared" si="62"/>
        <v>0</v>
      </c>
      <c r="I1998" s="20">
        <f t="shared" si="63"/>
        <v>45962</v>
      </c>
    </row>
    <row r="1999" spans="1:9" x14ac:dyDescent="0.2">
      <c r="A1999">
        <v>2025</v>
      </c>
      <c r="B1999">
        <v>11</v>
      </c>
      <c r="C1999" t="s">
        <v>55</v>
      </c>
      <c r="D1999" t="s">
        <v>60</v>
      </c>
      <c r="E1999" t="s">
        <v>63</v>
      </c>
      <c r="F1999" s="14">
        <v>388414844</v>
      </c>
      <c r="G1999" s="14">
        <v>228479257</v>
      </c>
      <c r="H1999">
        <f t="shared" si="62"/>
        <v>0</v>
      </c>
      <c r="I1999" s="20">
        <f t="shared" si="63"/>
        <v>45962</v>
      </c>
    </row>
    <row r="2000" spans="1:9" x14ac:dyDescent="0.2">
      <c r="A2000">
        <v>2025</v>
      </c>
      <c r="B2000">
        <v>11</v>
      </c>
      <c r="C2000" t="s">
        <v>55</v>
      </c>
      <c r="D2000" t="s">
        <v>60</v>
      </c>
      <c r="E2000" t="s">
        <v>61</v>
      </c>
      <c r="F2000" s="14">
        <v>131065036</v>
      </c>
      <c r="G2000" s="14">
        <v>87375747</v>
      </c>
      <c r="H2000">
        <f t="shared" si="62"/>
        <v>0</v>
      </c>
      <c r="I2000" s="20">
        <f t="shared" si="63"/>
        <v>45962</v>
      </c>
    </row>
    <row r="2001" spans="1:9" x14ac:dyDescent="0.2">
      <c r="A2001">
        <v>2025</v>
      </c>
      <c r="B2001">
        <v>11</v>
      </c>
      <c r="C2001" t="s">
        <v>55</v>
      </c>
      <c r="D2001" t="s">
        <v>60</v>
      </c>
      <c r="E2001" t="s">
        <v>65</v>
      </c>
      <c r="F2001" s="14">
        <v>53718290</v>
      </c>
      <c r="G2001" s="14">
        <v>33573929</v>
      </c>
      <c r="H2001">
        <f t="shared" si="62"/>
        <v>1</v>
      </c>
      <c r="I2001" s="20">
        <f t="shared" si="63"/>
        <v>45962</v>
      </c>
    </row>
    <row r="2002" spans="1:9" x14ac:dyDescent="0.2">
      <c r="A2002">
        <v>2025</v>
      </c>
      <c r="B2002">
        <v>11</v>
      </c>
      <c r="C2002" t="s">
        <v>64</v>
      </c>
      <c r="D2002" t="s">
        <v>60</v>
      </c>
      <c r="E2002" t="s">
        <v>63</v>
      </c>
      <c r="F2002" s="14">
        <v>21497073</v>
      </c>
      <c r="G2002" s="14">
        <v>12645337</v>
      </c>
      <c r="H2002">
        <f t="shared" si="62"/>
        <v>0</v>
      </c>
      <c r="I2002" s="20">
        <f t="shared" si="63"/>
        <v>45962</v>
      </c>
    </row>
    <row r="2003" spans="1:9" x14ac:dyDescent="0.2">
      <c r="A2003">
        <v>2025</v>
      </c>
      <c r="B2003">
        <v>11</v>
      </c>
      <c r="C2003" t="s">
        <v>62</v>
      </c>
      <c r="D2003" t="s">
        <v>60</v>
      </c>
      <c r="E2003" t="s">
        <v>65</v>
      </c>
      <c r="F2003" s="14">
        <v>9927078</v>
      </c>
      <c r="G2003" s="14">
        <v>6204424</v>
      </c>
      <c r="H2003">
        <f t="shared" si="62"/>
        <v>1</v>
      </c>
      <c r="I2003" s="20">
        <f t="shared" si="63"/>
        <v>45962</v>
      </c>
    </row>
    <row r="2004" spans="1:9" x14ac:dyDescent="0.2">
      <c r="A2004">
        <v>2025</v>
      </c>
      <c r="B2004">
        <v>11</v>
      </c>
      <c r="C2004" t="s">
        <v>64</v>
      </c>
      <c r="D2004" t="s">
        <v>60</v>
      </c>
      <c r="E2004" t="s">
        <v>61</v>
      </c>
      <c r="F2004" s="14">
        <v>8912554</v>
      </c>
      <c r="G2004" s="14">
        <v>5941697</v>
      </c>
      <c r="H2004">
        <f t="shared" si="62"/>
        <v>0</v>
      </c>
      <c r="I2004" s="20">
        <f t="shared" si="63"/>
        <v>45962</v>
      </c>
    </row>
    <row r="2005" spans="1:9" x14ac:dyDescent="0.2">
      <c r="A2005">
        <v>2025</v>
      </c>
      <c r="B2005">
        <v>11</v>
      </c>
      <c r="C2005" t="s">
        <v>55</v>
      </c>
      <c r="D2005" t="s">
        <v>66</v>
      </c>
      <c r="E2005" t="s">
        <v>75</v>
      </c>
      <c r="F2005" s="14">
        <v>10989826</v>
      </c>
      <c r="G2005" s="14">
        <v>7849875</v>
      </c>
      <c r="H2005">
        <f t="shared" si="62"/>
        <v>0</v>
      </c>
      <c r="I2005" s="20">
        <f t="shared" si="63"/>
        <v>45962</v>
      </c>
    </row>
    <row r="2006" spans="1:9" x14ac:dyDescent="0.2">
      <c r="A2006">
        <v>2025</v>
      </c>
      <c r="B2006">
        <v>11</v>
      </c>
      <c r="C2006" t="s">
        <v>55</v>
      </c>
      <c r="D2006" t="s">
        <v>66</v>
      </c>
      <c r="E2006" t="s">
        <v>63</v>
      </c>
      <c r="F2006" s="14">
        <v>6855998</v>
      </c>
      <c r="G2006" s="14">
        <v>4032940</v>
      </c>
      <c r="H2006">
        <f t="shared" si="62"/>
        <v>0</v>
      </c>
      <c r="I2006" s="20">
        <f t="shared" si="63"/>
        <v>45962</v>
      </c>
    </row>
    <row r="2007" spans="1:9" x14ac:dyDescent="0.2">
      <c r="A2007">
        <v>2025</v>
      </c>
      <c r="B2007">
        <v>11</v>
      </c>
      <c r="C2007" t="s">
        <v>55</v>
      </c>
      <c r="D2007" t="s">
        <v>66</v>
      </c>
      <c r="E2007" t="s">
        <v>67</v>
      </c>
      <c r="F2007" s="14">
        <v>5021204</v>
      </c>
      <c r="G2007" s="14">
        <v>3347446</v>
      </c>
      <c r="H2007">
        <f t="shared" si="62"/>
        <v>0</v>
      </c>
      <c r="I2007" s="20">
        <f t="shared" si="63"/>
        <v>45962</v>
      </c>
    </row>
    <row r="2008" spans="1:9" x14ac:dyDescent="0.2">
      <c r="A2008">
        <v>2025</v>
      </c>
      <c r="B2008">
        <v>11</v>
      </c>
      <c r="C2008" t="s">
        <v>55</v>
      </c>
      <c r="D2008" t="s">
        <v>66</v>
      </c>
      <c r="E2008" t="s">
        <v>68</v>
      </c>
      <c r="F2008" s="14">
        <v>2702306</v>
      </c>
      <c r="G2008" s="14">
        <v>2702306</v>
      </c>
      <c r="H2008">
        <f t="shared" si="62"/>
        <v>0</v>
      </c>
      <c r="I2008" s="20">
        <f t="shared" si="63"/>
        <v>45962</v>
      </c>
    </row>
    <row r="2009" spans="1:9" x14ac:dyDescent="0.2">
      <c r="A2009">
        <v>2025</v>
      </c>
      <c r="B2009">
        <v>11</v>
      </c>
      <c r="C2009" t="s">
        <v>55</v>
      </c>
      <c r="D2009" t="s">
        <v>66</v>
      </c>
      <c r="E2009" t="s">
        <v>74</v>
      </c>
      <c r="F2009" s="14">
        <v>939308</v>
      </c>
      <c r="G2009" s="14">
        <v>853916</v>
      </c>
      <c r="H2009">
        <f t="shared" si="62"/>
        <v>0</v>
      </c>
      <c r="I2009" s="20">
        <f t="shared" si="63"/>
        <v>45962</v>
      </c>
    </row>
    <row r="2010" spans="1:9" x14ac:dyDescent="0.2">
      <c r="A2010">
        <v>2025</v>
      </c>
      <c r="B2010">
        <v>11</v>
      </c>
      <c r="C2010" t="s">
        <v>55</v>
      </c>
      <c r="D2010" t="s">
        <v>66</v>
      </c>
      <c r="E2010" t="s">
        <v>69</v>
      </c>
      <c r="F2010" s="14">
        <v>699183</v>
      </c>
      <c r="G2010" s="14">
        <v>436988</v>
      </c>
      <c r="H2010">
        <f t="shared" si="62"/>
        <v>0</v>
      </c>
      <c r="I2010" s="20">
        <f t="shared" si="63"/>
        <v>45962</v>
      </c>
    </row>
    <row r="2011" spans="1:9" x14ac:dyDescent="0.2">
      <c r="A2011">
        <v>2025</v>
      </c>
      <c r="B2011">
        <v>11</v>
      </c>
      <c r="C2011" t="s">
        <v>55</v>
      </c>
      <c r="D2011" t="s">
        <v>66</v>
      </c>
      <c r="E2011" t="s">
        <v>81</v>
      </c>
      <c r="F2011" s="14">
        <v>77562</v>
      </c>
      <c r="G2011" s="14">
        <v>77562</v>
      </c>
      <c r="H2011">
        <f t="shared" si="62"/>
        <v>0</v>
      </c>
      <c r="I2011" s="20">
        <f t="shared" si="63"/>
        <v>45962</v>
      </c>
    </row>
    <row r="2012" spans="1:9" x14ac:dyDescent="0.2">
      <c r="A2012">
        <v>2025</v>
      </c>
      <c r="B2012">
        <v>11</v>
      </c>
      <c r="C2012" t="s">
        <v>55</v>
      </c>
      <c r="D2012" t="s">
        <v>66</v>
      </c>
      <c r="E2012" t="s">
        <v>80</v>
      </c>
      <c r="F2012" s="14">
        <v>40365</v>
      </c>
      <c r="G2012" s="14">
        <v>40365</v>
      </c>
      <c r="H2012">
        <f t="shared" si="62"/>
        <v>0</v>
      </c>
      <c r="I2012" s="20">
        <f t="shared" si="63"/>
        <v>45962</v>
      </c>
    </row>
    <row r="2013" spans="1:9" x14ac:dyDescent="0.2">
      <c r="A2013">
        <v>2025</v>
      </c>
      <c r="B2013">
        <v>11</v>
      </c>
      <c r="C2013" t="s">
        <v>55</v>
      </c>
      <c r="D2013" t="s">
        <v>70</v>
      </c>
      <c r="E2013" t="s">
        <v>68</v>
      </c>
      <c r="F2013" s="14">
        <v>1138600492</v>
      </c>
      <c r="G2013" s="14">
        <v>1138600492</v>
      </c>
      <c r="H2013">
        <f t="shared" si="62"/>
        <v>0</v>
      </c>
      <c r="I2013" s="20">
        <f t="shared" si="63"/>
        <v>45962</v>
      </c>
    </row>
    <row r="2014" spans="1:9" x14ac:dyDescent="0.2">
      <c r="A2014">
        <v>2025</v>
      </c>
      <c r="B2014">
        <v>11</v>
      </c>
      <c r="C2014" t="s">
        <v>64</v>
      </c>
      <c r="D2014" t="s">
        <v>70</v>
      </c>
      <c r="E2014" t="s">
        <v>68</v>
      </c>
      <c r="F2014" s="14">
        <v>1108961</v>
      </c>
      <c r="G2014" s="14">
        <v>1108961</v>
      </c>
      <c r="H2014">
        <f t="shared" si="62"/>
        <v>0</v>
      </c>
      <c r="I2014" s="20">
        <f t="shared" si="63"/>
        <v>45962</v>
      </c>
    </row>
    <row r="2015" spans="1:9" x14ac:dyDescent="0.2">
      <c r="A2015">
        <v>2025</v>
      </c>
      <c r="B2015">
        <v>12</v>
      </c>
      <c r="C2015" t="s">
        <v>55</v>
      </c>
      <c r="D2015" t="s">
        <v>56</v>
      </c>
      <c r="E2015" t="s">
        <v>80</v>
      </c>
      <c r="F2015" s="14">
        <v>103004768</v>
      </c>
      <c r="G2015" s="14">
        <v>103004768</v>
      </c>
      <c r="H2015">
        <f t="shared" si="62"/>
        <v>0</v>
      </c>
      <c r="I2015" s="20">
        <f t="shared" si="63"/>
        <v>45992</v>
      </c>
    </row>
    <row r="2016" spans="1:9" x14ac:dyDescent="0.2">
      <c r="A2016">
        <v>2025</v>
      </c>
      <c r="B2016">
        <v>12</v>
      </c>
      <c r="C2016" t="s">
        <v>55</v>
      </c>
      <c r="D2016" t="s">
        <v>56</v>
      </c>
      <c r="E2016" t="s">
        <v>57</v>
      </c>
      <c r="F2016" s="14">
        <v>8079758</v>
      </c>
      <c r="G2016" s="14">
        <v>8079758</v>
      </c>
      <c r="H2016">
        <f t="shared" si="62"/>
        <v>0</v>
      </c>
      <c r="I2016" s="20">
        <f t="shared" si="63"/>
        <v>45992</v>
      </c>
    </row>
    <row r="2017" spans="1:9" x14ac:dyDescent="0.2">
      <c r="A2017">
        <v>2025</v>
      </c>
      <c r="B2017">
        <v>12</v>
      </c>
      <c r="C2017" t="s">
        <v>64</v>
      </c>
      <c r="D2017" t="s">
        <v>56</v>
      </c>
      <c r="E2017" t="s">
        <v>80</v>
      </c>
      <c r="F2017" s="14">
        <v>4110805</v>
      </c>
      <c r="G2017" s="14">
        <v>4110805</v>
      </c>
      <c r="H2017">
        <f t="shared" si="62"/>
        <v>0</v>
      </c>
      <c r="I2017" s="20">
        <f t="shared" si="63"/>
        <v>45992</v>
      </c>
    </row>
    <row r="2018" spans="1:9" x14ac:dyDescent="0.2">
      <c r="A2018">
        <v>2025</v>
      </c>
      <c r="B2018">
        <v>12</v>
      </c>
      <c r="C2018" t="s">
        <v>55</v>
      </c>
      <c r="D2018" t="s">
        <v>56</v>
      </c>
      <c r="E2018" t="s">
        <v>81</v>
      </c>
      <c r="F2018" s="14">
        <v>73492</v>
      </c>
      <c r="G2018" s="14">
        <v>73492</v>
      </c>
      <c r="H2018">
        <f t="shared" si="62"/>
        <v>0</v>
      </c>
      <c r="I2018" s="20">
        <f t="shared" si="63"/>
        <v>45992</v>
      </c>
    </row>
    <row r="2019" spans="1:9" x14ac:dyDescent="0.2">
      <c r="A2019">
        <v>2025</v>
      </c>
      <c r="B2019">
        <v>12</v>
      </c>
      <c r="C2019" t="s">
        <v>55</v>
      </c>
      <c r="D2019" t="s">
        <v>60</v>
      </c>
      <c r="E2019" t="s">
        <v>63</v>
      </c>
      <c r="F2019" s="14">
        <v>434216770</v>
      </c>
      <c r="G2019" s="14">
        <v>255421583</v>
      </c>
      <c r="H2019">
        <f t="shared" si="62"/>
        <v>0</v>
      </c>
      <c r="I2019" s="20">
        <f t="shared" si="63"/>
        <v>45992</v>
      </c>
    </row>
    <row r="2020" spans="1:9" x14ac:dyDescent="0.2">
      <c r="A2020">
        <v>2025</v>
      </c>
      <c r="B2020">
        <v>12</v>
      </c>
      <c r="C2020" t="s">
        <v>55</v>
      </c>
      <c r="D2020" t="s">
        <v>60</v>
      </c>
      <c r="E2020" t="s">
        <v>61</v>
      </c>
      <c r="F2020" s="14">
        <v>119990077</v>
      </c>
      <c r="G2020" s="14">
        <v>79992553</v>
      </c>
      <c r="H2020">
        <f t="shared" si="62"/>
        <v>0</v>
      </c>
      <c r="I2020" s="20">
        <f t="shared" si="63"/>
        <v>45992</v>
      </c>
    </row>
    <row r="2021" spans="1:9" x14ac:dyDescent="0.2">
      <c r="A2021">
        <v>2025</v>
      </c>
      <c r="B2021">
        <v>12</v>
      </c>
      <c r="C2021" t="s">
        <v>55</v>
      </c>
      <c r="D2021" t="s">
        <v>60</v>
      </c>
      <c r="E2021" t="s">
        <v>65</v>
      </c>
      <c r="F2021" s="14">
        <v>71086229</v>
      </c>
      <c r="G2021" s="14">
        <v>44428891</v>
      </c>
      <c r="H2021">
        <f t="shared" si="62"/>
        <v>1</v>
      </c>
      <c r="I2021" s="20">
        <f t="shared" si="63"/>
        <v>45992</v>
      </c>
    </row>
    <row r="2022" spans="1:9" x14ac:dyDescent="0.2">
      <c r="A2022">
        <v>2025</v>
      </c>
      <c r="B2022">
        <v>12</v>
      </c>
      <c r="C2022" t="s">
        <v>64</v>
      </c>
      <c r="D2022" t="s">
        <v>60</v>
      </c>
      <c r="E2022" t="s">
        <v>63</v>
      </c>
      <c r="F2022" s="14">
        <v>41977288</v>
      </c>
      <c r="G2022" s="14">
        <v>24692522</v>
      </c>
      <c r="H2022">
        <f t="shared" si="62"/>
        <v>0</v>
      </c>
      <c r="I2022" s="20">
        <f t="shared" si="63"/>
        <v>45992</v>
      </c>
    </row>
    <row r="2023" spans="1:9" x14ac:dyDescent="0.2">
      <c r="A2023">
        <v>2025</v>
      </c>
      <c r="B2023">
        <v>12</v>
      </c>
      <c r="C2023" t="s">
        <v>64</v>
      </c>
      <c r="D2023" t="s">
        <v>60</v>
      </c>
      <c r="E2023" t="s">
        <v>61</v>
      </c>
      <c r="F2023" s="14">
        <v>5749393</v>
      </c>
      <c r="G2023" s="14">
        <v>3832926</v>
      </c>
      <c r="H2023">
        <f t="shared" si="62"/>
        <v>0</v>
      </c>
      <c r="I2023" s="20">
        <f t="shared" si="63"/>
        <v>45992</v>
      </c>
    </row>
    <row r="2024" spans="1:9" x14ac:dyDescent="0.2">
      <c r="A2024">
        <v>2025</v>
      </c>
      <c r="B2024">
        <v>12</v>
      </c>
      <c r="C2024" t="s">
        <v>55</v>
      </c>
      <c r="D2024" t="s">
        <v>66</v>
      </c>
      <c r="E2024" t="s">
        <v>75</v>
      </c>
      <c r="F2024" s="14">
        <v>13218405</v>
      </c>
      <c r="G2024" s="14">
        <v>9441717</v>
      </c>
      <c r="H2024">
        <f t="shared" si="62"/>
        <v>0</v>
      </c>
      <c r="I2024" s="20">
        <f t="shared" si="63"/>
        <v>45992</v>
      </c>
    </row>
    <row r="2025" spans="1:9" x14ac:dyDescent="0.2">
      <c r="A2025">
        <v>2025</v>
      </c>
      <c r="B2025">
        <v>12</v>
      </c>
      <c r="C2025" t="s">
        <v>55</v>
      </c>
      <c r="D2025" t="s">
        <v>66</v>
      </c>
      <c r="E2025" t="s">
        <v>67</v>
      </c>
      <c r="F2025" s="14">
        <v>6619352</v>
      </c>
      <c r="G2025" s="14">
        <v>4412880</v>
      </c>
      <c r="H2025">
        <f t="shared" si="62"/>
        <v>0</v>
      </c>
      <c r="I2025" s="20">
        <f t="shared" si="63"/>
        <v>45992</v>
      </c>
    </row>
    <row r="2026" spans="1:9" x14ac:dyDescent="0.2">
      <c r="A2026">
        <v>2025</v>
      </c>
      <c r="B2026">
        <v>12</v>
      </c>
      <c r="C2026" t="s">
        <v>55</v>
      </c>
      <c r="D2026" t="s">
        <v>66</v>
      </c>
      <c r="E2026" t="s">
        <v>63</v>
      </c>
      <c r="F2026" s="14">
        <v>3366450</v>
      </c>
      <c r="G2026" s="14">
        <v>1980265</v>
      </c>
      <c r="H2026">
        <f t="shared" si="62"/>
        <v>0</v>
      </c>
      <c r="I2026" s="20">
        <f t="shared" si="63"/>
        <v>45992</v>
      </c>
    </row>
    <row r="2027" spans="1:9" x14ac:dyDescent="0.2">
      <c r="A2027">
        <v>2025</v>
      </c>
      <c r="B2027">
        <v>12</v>
      </c>
      <c r="C2027" t="s">
        <v>55</v>
      </c>
      <c r="D2027" t="s">
        <v>66</v>
      </c>
      <c r="E2027" t="s">
        <v>68</v>
      </c>
      <c r="F2027" s="14">
        <v>2590289</v>
      </c>
      <c r="G2027" s="14">
        <v>2590289</v>
      </c>
      <c r="H2027">
        <f t="shared" si="62"/>
        <v>0</v>
      </c>
      <c r="I2027" s="20">
        <f t="shared" si="63"/>
        <v>45992</v>
      </c>
    </row>
    <row r="2028" spans="1:9" x14ac:dyDescent="0.2">
      <c r="A2028">
        <v>2025</v>
      </c>
      <c r="B2028">
        <v>12</v>
      </c>
      <c r="C2028" t="s">
        <v>55</v>
      </c>
      <c r="D2028" t="s">
        <v>66</v>
      </c>
      <c r="E2028" t="s">
        <v>74</v>
      </c>
      <c r="F2028" s="14">
        <v>1051400</v>
      </c>
      <c r="G2028" s="14">
        <v>955818</v>
      </c>
      <c r="H2028">
        <f t="shared" si="62"/>
        <v>0</v>
      </c>
      <c r="I2028" s="20">
        <f t="shared" si="63"/>
        <v>45992</v>
      </c>
    </row>
    <row r="2029" spans="1:9" x14ac:dyDescent="0.2">
      <c r="A2029">
        <v>2025</v>
      </c>
      <c r="B2029">
        <v>12</v>
      </c>
      <c r="C2029" t="s">
        <v>55</v>
      </c>
      <c r="D2029" t="s">
        <v>66</v>
      </c>
      <c r="E2029" t="s">
        <v>81</v>
      </c>
      <c r="F2029" s="14">
        <v>69517</v>
      </c>
      <c r="G2029" s="14">
        <v>69517</v>
      </c>
      <c r="H2029">
        <f t="shared" si="62"/>
        <v>0</v>
      </c>
      <c r="I2029" s="20">
        <f t="shared" si="63"/>
        <v>45992</v>
      </c>
    </row>
    <row r="2030" spans="1:9" x14ac:dyDescent="0.2">
      <c r="A2030">
        <v>2025</v>
      </c>
      <c r="B2030">
        <v>12</v>
      </c>
      <c r="C2030" t="s">
        <v>55</v>
      </c>
      <c r="D2030" t="s">
        <v>66</v>
      </c>
      <c r="E2030" t="s">
        <v>80</v>
      </c>
      <c r="F2030" s="14">
        <v>47971</v>
      </c>
      <c r="G2030" s="14">
        <v>47971</v>
      </c>
      <c r="H2030">
        <f t="shared" si="62"/>
        <v>0</v>
      </c>
      <c r="I2030" s="20">
        <f t="shared" si="63"/>
        <v>45992</v>
      </c>
    </row>
    <row r="2031" spans="1:9" x14ac:dyDescent="0.2">
      <c r="A2031">
        <v>2025</v>
      </c>
      <c r="B2031">
        <v>12</v>
      </c>
      <c r="C2031" t="s">
        <v>55</v>
      </c>
      <c r="D2031" t="s">
        <v>70</v>
      </c>
      <c r="E2031" t="s">
        <v>68</v>
      </c>
      <c r="F2031" s="14">
        <v>1317142924</v>
      </c>
      <c r="G2031" s="14">
        <v>1317142924</v>
      </c>
      <c r="H2031">
        <f t="shared" si="62"/>
        <v>0</v>
      </c>
      <c r="I2031" s="20">
        <f t="shared" si="63"/>
        <v>45992</v>
      </c>
    </row>
    <row r="2032" spans="1:9" x14ac:dyDescent="0.2">
      <c r="A2032">
        <v>2025</v>
      </c>
      <c r="B2032">
        <v>12</v>
      </c>
      <c r="C2032" t="s">
        <v>64</v>
      </c>
      <c r="D2032" t="s">
        <v>70</v>
      </c>
      <c r="E2032" t="s">
        <v>68</v>
      </c>
      <c r="F2032" s="14">
        <v>1309561</v>
      </c>
      <c r="G2032" s="14">
        <v>1309561</v>
      </c>
      <c r="H2032">
        <f t="shared" si="62"/>
        <v>0</v>
      </c>
      <c r="I2032" s="20">
        <f t="shared" si="63"/>
        <v>45992</v>
      </c>
    </row>
    <row r="2033" spans="1:9" x14ac:dyDescent="0.2">
      <c r="A2033">
        <v>2025</v>
      </c>
      <c r="B2033">
        <v>12</v>
      </c>
      <c r="C2033" t="s">
        <v>64</v>
      </c>
      <c r="D2033" t="s">
        <v>71</v>
      </c>
      <c r="E2033" t="s">
        <v>72</v>
      </c>
      <c r="F2033" s="14">
        <v>6025</v>
      </c>
      <c r="G2033" s="14">
        <v>6025</v>
      </c>
      <c r="H2033">
        <f t="shared" si="62"/>
        <v>0</v>
      </c>
      <c r="I2033" s="20">
        <f t="shared" si="63"/>
        <v>45992</v>
      </c>
    </row>
    <row r="2034" spans="1:9" x14ac:dyDescent="0.2">
      <c r="A2034">
        <v>2026</v>
      </c>
      <c r="B2034">
        <v>1</v>
      </c>
      <c r="C2034" t="s">
        <v>55</v>
      </c>
      <c r="D2034" t="s">
        <v>56</v>
      </c>
      <c r="E2034" t="s">
        <v>80</v>
      </c>
      <c r="F2034" s="14">
        <v>101766839</v>
      </c>
      <c r="G2034" s="14">
        <v>101766839</v>
      </c>
      <c r="H2034">
        <f t="shared" si="62"/>
        <v>0</v>
      </c>
      <c r="I2034" s="20">
        <f t="shared" si="63"/>
        <v>46023</v>
      </c>
    </row>
    <row r="2035" spans="1:9" x14ac:dyDescent="0.2">
      <c r="A2035">
        <v>2026</v>
      </c>
      <c r="B2035">
        <v>1</v>
      </c>
      <c r="C2035" t="s">
        <v>55</v>
      </c>
      <c r="D2035" t="s">
        <v>56</v>
      </c>
      <c r="E2035" t="s">
        <v>57</v>
      </c>
      <c r="F2035" s="14">
        <v>6036689</v>
      </c>
      <c r="G2035" s="14">
        <v>6036689</v>
      </c>
      <c r="H2035">
        <f t="shared" si="62"/>
        <v>0</v>
      </c>
      <c r="I2035" s="20">
        <f t="shared" si="63"/>
        <v>46023</v>
      </c>
    </row>
    <row r="2036" spans="1:9" x14ac:dyDescent="0.2">
      <c r="A2036">
        <v>2026</v>
      </c>
      <c r="B2036">
        <v>1</v>
      </c>
      <c r="C2036" t="s">
        <v>64</v>
      </c>
      <c r="D2036" t="s">
        <v>56</v>
      </c>
      <c r="E2036" t="s">
        <v>80</v>
      </c>
      <c r="F2036" s="14">
        <v>4201430</v>
      </c>
      <c r="G2036" s="14">
        <v>4201430</v>
      </c>
      <c r="H2036">
        <f t="shared" si="62"/>
        <v>0</v>
      </c>
      <c r="I2036" s="20">
        <f t="shared" si="63"/>
        <v>46023</v>
      </c>
    </row>
    <row r="2037" spans="1:9" x14ac:dyDescent="0.2">
      <c r="A2037">
        <v>2026</v>
      </c>
      <c r="B2037">
        <v>1</v>
      </c>
      <c r="C2037" t="s">
        <v>55</v>
      </c>
      <c r="D2037" t="s">
        <v>56</v>
      </c>
      <c r="E2037" t="s">
        <v>81</v>
      </c>
      <c r="F2037" s="14">
        <v>47087</v>
      </c>
      <c r="G2037" s="14">
        <v>47087</v>
      </c>
      <c r="H2037">
        <f t="shared" si="62"/>
        <v>0</v>
      </c>
      <c r="I2037" s="20">
        <f t="shared" si="63"/>
        <v>46023</v>
      </c>
    </row>
    <row r="2038" spans="1:9" x14ac:dyDescent="0.2">
      <c r="A2038">
        <v>2026</v>
      </c>
      <c r="B2038">
        <v>1</v>
      </c>
      <c r="C2038" t="s">
        <v>55</v>
      </c>
      <c r="D2038" t="s">
        <v>60</v>
      </c>
      <c r="E2038" t="s">
        <v>63</v>
      </c>
      <c r="F2038" s="14">
        <v>277271772</v>
      </c>
      <c r="G2038" s="14">
        <v>163101010</v>
      </c>
      <c r="H2038">
        <f t="shared" si="62"/>
        <v>0</v>
      </c>
      <c r="I2038" s="20">
        <f t="shared" si="63"/>
        <v>46023</v>
      </c>
    </row>
    <row r="2039" spans="1:9" x14ac:dyDescent="0.2">
      <c r="A2039">
        <v>2026</v>
      </c>
      <c r="B2039">
        <v>1</v>
      </c>
      <c r="C2039" t="s">
        <v>55</v>
      </c>
      <c r="D2039" t="s">
        <v>60</v>
      </c>
      <c r="E2039" t="s">
        <v>61</v>
      </c>
      <c r="F2039" s="14">
        <v>132151094</v>
      </c>
      <c r="G2039" s="14">
        <v>88099865</v>
      </c>
      <c r="H2039">
        <f t="shared" si="62"/>
        <v>0</v>
      </c>
      <c r="I2039" s="20">
        <f t="shared" si="63"/>
        <v>46023</v>
      </c>
    </row>
    <row r="2040" spans="1:9" x14ac:dyDescent="0.2">
      <c r="A2040">
        <v>2026</v>
      </c>
      <c r="B2040">
        <v>1</v>
      </c>
      <c r="C2040" t="s">
        <v>55</v>
      </c>
      <c r="D2040" t="s">
        <v>60</v>
      </c>
      <c r="E2040" t="s">
        <v>65</v>
      </c>
      <c r="F2040" s="14">
        <v>28918173</v>
      </c>
      <c r="G2040" s="14">
        <v>18073860</v>
      </c>
      <c r="H2040">
        <f t="shared" si="62"/>
        <v>1</v>
      </c>
      <c r="I2040" s="20">
        <f t="shared" si="63"/>
        <v>46023</v>
      </c>
    </row>
    <row r="2041" spans="1:9" x14ac:dyDescent="0.2">
      <c r="A2041">
        <v>2026</v>
      </c>
      <c r="B2041">
        <v>1</v>
      </c>
      <c r="C2041" t="s">
        <v>64</v>
      </c>
      <c r="D2041" t="s">
        <v>60</v>
      </c>
      <c r="E2041" t="s">
        <v>61</v>
      </c>
      <c r="F2041" s="14">
        <v>285326</v>
      </c>
      <c r="G2041" s="14">
        <v>190216</v>
      </c>
      <c r="H2041">
        <f t="shared" si="62"/>
        <v>0</v>
      </c>
      <c r="I2041" s="20">
        <f t="shared" si="63"/>
        <v>46023</v>
      </c>
    </row>
    <row r="2042" spans="1:9" x14ac:dyDescent="0.2">
      <c r="A2042">
        <v>2026</v>
      </c>
      <c r="B2042">
        <v>1</v>
      </c>
      <c r="C2042" t="s">
        <v>55</v>
      </c>
      <c r="D2042" t="s">
        <v>66</v>
      </c>
      <c r="E2042" t="s">
        <v>63</v>
      </c>
      <c r="F2042" s="14">
        <v>11056982</v>
      </c>
      <c r="G2042" s="14">
        <v>6504108</v>
      </c>
      <c r="H2042">
        <f t="shared" si="62"/>
        <v>0</v>
      </c>
      <c r="I2042" s="20">
        <f t="shared" si="63"/>
        <v>46023</v>
      </c>
    </row>
    <row r="2043" spans="1:9" x14ac:dyDescent="0.2">
      <c r="A2043">
        <v>2026</v>
      </c>
      <c r="B2043">
        <v>1</v>
      </c>
      <c r="C2043" t="s">
        <v>55</v>
      </c>
      <c r="D2043" t="s">
        <v>66</v>
      </c>
      <c r="E2043" t="s">
        <v>67</v>
      </c>
      <c r="F2043" s="14">
        <v>3582950</v>
      </c>
      <c r="G2043" s="14">
        <v>2388615</v>
      </c>
      <c r="H2043">
        <f t="shared" si="62"/>
        <v>0</v>
      </c>
      <c r="I2043" s="20">
        <f t="shared" si="63"/>
        <v>46023</v>
      </c>
    </row>
    <row r="2044" spans="1:9" x14ac:dyDescent="0.2">
      <c r="A2044">
        <v>2026</v>
      </c>
      <c r="B2044">
        <v>1</v>
      </c>
      <c r="C2044" t="s">
        <v>55</v>
      </c>
      <c r="D2044" t="s">
        <v>66</v>
      </c>
      <c r="E2044" t="s">
        <v>75</v>
      </c>
      <c r="F2044" s="14">
        <v>3368397</v>
      </c>
      <c r="G2044" s="14">
        <v>2405998</v>
      </c>
      <c r="H2044">
        <f t="shared" si="62"/>
        <v>0</v>
      </c>
      <c r="I2044" s="20">
        <f t="shared" si="63"/>
        <v>46023</v>
      </c>
    </row>
    <row r="2045" spans="1:9" x14ac:dyDescent="0.2">
      <c r="A2045">
        <v>2026</v>
      </c>
      <c r="B2045">
        <v>1</v>
      </c>
      <c r="C2045" t="s">
        <v>55</v>
      </c>
      <c r="D2045" t="s">
        <v>66</v>
      </c>
      <c r="E2045" t="s">
        <v>68</v>
      </c>
      <c r="F2045" s="14">
        <v>2663693</v>
      </c>
      <c r="G2045" s="14">
        <v>2663693</v>
      </c>
      <c r="H2045">
        <f t="shared" si="62"/>
        <v>0</v>
      </c>
      <c r="I2045" s="20">
        <f t="shared" si="63"/>
        <v>46023</v>
      </c>
    </row>
    <row r="2046" spans="1:9" x14ac:dyDescent="0.2">
      <c r="A2046">
        <v>2026</v>
      </c>
      <c r="B2046">
        <v>1</v>
      </c>
      <c r="C2046" t="s">
        <v>55</v>
      </c>
      <c r="D2046" t="s">
        <v>66</v>
      </c>
      <c r="E2046" t="s">
        <v>69</v>
      </c>
      <c r="F2046" s="14">
        <v>674436</v>
      </c>
      <c r="G2046" s="14">
        <v>421522</v>
      </c>
      <c r="H2046">
        <f t="shared" si="62"/>
        <v>0</v>
      </c>
      <c r="I2046" s="20">
        <f t="shared" si="63"/>
        <v>46023</v>
      </c>
    </row>
    <row r="2047" spans="1:9" x14ac:dyDescent="0.2">
      <c r="A2047">
        <v>2026</v>
      </c>
      <c r="B2047">
        <v>1</v>
      </c>
      <c r="C2047" t="s">
        <v>55</v>
      </c>
      <c r="D2047" t="s">
        <v>66</v>
      </c>
      <c r="E2047" t="s">
        <v>81</v>
      </c>
      <c r="F2047" s="14">
        <v>59710</v>
      </c>
      <c r="G2047" s="14">
        <v>59710</v>
      </c>
      <c r="H2047">
        <f t="shared" si="62"/>
        <v>0</v>
      </c>
      <c r="I2047" s="20">
        <f t="shared" si="63"/>
        <v>46023</v>
      </c>
    </row>
    <row r="2048" spans="1:9" x14ac:dyDescent="0.2">
      <c r="A2048">
        <v>2026</v>
      </c>
      <c r="B2048">
        <v>1</v>
      </c>
      <c r="C2048" t="s">
        <v>55</v>
      </c>
      <c r="D2048" t="s">
        <v>66</v>
      </c>
      <c r="E2048" t="s">
        <v>80</v>
      </c>
      <c r="F2048" s="14">
        <v>27073</v>
      </c>
      <c r="G2048" s="14">
        <v>27073</v>
      </c>
      <c r="H2048">
        <f t="shared" si="62"/>
        <v>0</v>
      </c>
      <c r="I2048" s="20">
        <f t="shared" si="63"/>
        <v>46023</v>
      </c>
    </row>
    <row r="2049" spans="1:9" x14ac:dyDescent="0.2">
      <c r="A2049">
        <v>2026</v>
      </c>
      <c r="B2049">
        <v>1</v>
      </c>
      <c r="C2049" t="s">
        <v>55</v>
      </c>
      <c r="D2049" t="s">
        <v>70</v>
      </c>
      <c r="E2049" t="s">
        <v>68</v>
      </c>
      <c r="F2049" s="14">
        <v>1215538505</v>
      </c>
      <c r="G2049" s="14">
        <v>1215538505</v>
      </c>
      <c r="H2049">
        <f t="shared" si="62"/>
        <v>0</v>
      </c>
      <c r="I2049" s="20">
        <f t="shared" si="63"/>
        <v>46023</v>
      </c>
    </row>
    <row r="2050" spans="1:9" x14ac:dyDescent="0.2">
      <c r="A2050">
        <v>2026</v>
      </c>
      <c r="B2050">
        <v>1</v>
      </c>
      <c r="C2050" t="s">
        <v>64</v>
      </c>
      <c r="D2050" t="s">
        <v>70</v>
      </c>
      <c r="E2050" t="s">
        <v>68</v>
      </c>
      <c r="F2050" s="14">
        <v>1245132</v>
      </c>
      <c r="G2050" s="14">
        <v>1245132</v>
      </c>
      <c r="H2050">
        <f t="shared" si="62"/>
        <v>0</v>
      </c>
      <c r="I2050" s="20">
        <f t="shared" si="63"/>
        <v>46023</v>
      </c>
    </row>
    <row r="2051" spans="1:9" x14ac:dyDescent="0.2">
      <c r="A2051">
        <v>2026</v>
      </c>
      <c r="B2051">
        <v>1</v>
      </c>
      <c r="C2051" t="s">
        <v>64</v>
      </c>
      <c r="D2051" t="s">
        <v>71</v>
      </c>
      <c r="E2051" t="s">
        <v>72</v>
      </c>
      <c r="F2051" s="14">
        <v>9226</v>
      </c>
      <c r="G2051" s="14">
        <v>9226</v>
      </c>
      <c r="H2051">
        <f t="shared" ref="H2051:H2114" si="64">--ISNUMBER(SEARCH("Jet Fuel",E2051))</f>
        <v>0</v>
      </c>
      <c r="I2051" s="20">
        <f t="shared" ref="I2051:I2114" si="65">DATE(A2051,B2051,1)</f>
        <v>46023</v>
      </c>
    </row>
    <row r="2052" spans="1:9" x14ac:dyDescent="0.2">
      <c r="A2052">
        <v>2026</v>
      </c>
      <c r="B2052">
        <v>2</v>
      </c>
      <c r="C2052" t="s">
        <v>55</v>
      </c>
      <c r="D2052" t="s">
        <v>56</v>
      </c>
      <c r="E2052" t="s">
        <v>80</v>
      </c>
      <c r="F2052" s="14">
        <v>98383031</v>
      </c>
      <c r="G2052" s="14">
        <v>98383031</v>
      </c>
      <c r="H2052">
        <f t="shared" si="64"/>
        <v>0</v>
      </c>
      <c r="I2052" s="20">
        <f t="shared" si="65"/>
        <v>46054</v>
      </c>
    </row>
    <row r="2053" spans="1:9" x14ac:dyDescent="0.2">
      <c r="A2053">
        <v>2026</v>
      </c>
      <c r="B2053">
        <v>2</v>
      </c>
      <c r="C2053" t="s">
        <v>55</v>
      </c>
      <c r="D2053" t="s">
        <v>56</v>
      </c>
      <c r="E2053" t="s">
        <v>57</v>
      </c>
      <c r="F2053" s="14">
        <v>5978722</v>
      </c>
      <c r="G2053" s="14">
        <v>5978722</v>
      </c>
      <c r="H2053">
        <f t="shared" si="64"/>
        <v>0</v>
      </c>
      <c r="I2053" s="20">
        <f t="shared" si="65"/>
        <v>46054</v>
      </c>
    </row>
    <row r="2054" spans="1:9" x14ac:dyDescent="0.2">
      <c r="A2054">
        <v>2026</v>
      </c>
      <c r="B2054">
        <v>2</v>
      </c>
      <c r="C2054" t="s">
        <v>64</v>
      </c>
      <c r="D2054" t="s">
        <v>56</v>
      </c>
      <c r="E2054" t="s">
        <v>80</v>
      </c>
      <c r="F2054" s="14">
        <v>4117377</v>
      </c>
      <c r="G2054" s="14">
        <v>4117377</v>
      </c>
      <c r="H2054">
        <f t="shared" si="64"/>
        <v>0</v>
      </c>
      <c r="I2054" s="20">
        <f t="shared" si="65"/>
        <v>46054</v>
      </c>
    </row>
    <row r="2055" spans="1:9" x14ac:dyDescent="0.2">
      <c r="A2055">
        <v>2026</v>
      </c>
      <c r="B2055">
        <v>2</v>
      </c>
      <c r="C2055" t="s">
        <v>55</v>
      </c>
      <c r="D2055" t="s">
        <v>56</v>
      </c>
      <c r="E2055" t="s">
        <v>81</v>
      </c>
      <c r="F2055" s="14">
        <v>36039</v>
      </c>
      <c r="G2055" s="14">
        <v>36039</v>
      </c>
      <c r="H2055">
        <f t="shared" si="64"/>
        <v>0</v>
      </c>
      <c r="I2055" s="20">
        <f t="shared" si="65"/>
        <v>46054</v>
      </c>
    </row>
    <row r="2056" spans="1:9" x14ac:dyDescent="0.2">
      <c r="A2056">
        <v>2026</v>
      </c>
      <c r="B2056">
        <v>2</v>
      </c>
      <c r="C2056" t="s">
        <v>55</v>
      </c>
      <c r="D2056" t="s">
        <v>60</v>
      </c>
      <c r="E2056" t="s">
        <v>63</v>
      </c>
      <c r="F2056" s="14">
        <v>302307056</v>
      </c>
      <c r="G2056" s="14">
        <v>177827646</v>
      </c>
      <c r="H2056">
        <f t="shared" si="64"/>
        <v>0</v>
      </c>
      <c r="I2056" s="20">
        <f t="shared" si="65"/>
        <v>46054</v>
      </c>
    </row>
    <row r="2057" spans="1:9" x14ac:dyDescent="0.2">
      <c r="A2057">
        <v>2026</v>
      </c>
      <c r="B2057">
        <v>2</v>
      </c>
      <c r="C2057" t="s">
        <v>55</v>
      </c>
      <c r="D2057" t="s">
        <v>60</v>
      </c>
      <c r="E2057" t="s">
        <v>61</v>
      </c>
      <c r="F2057" s="14">
        <v>138190352</v>
      </c>
      <c r="G2057" s="14">
        <v>92125895</v>
      </c>
      <c r="H2057">
        <f t="shared" si="64"/>
        <v>0</v>
      </c>
      <c r="I2057" s="20">
        <f t="shared" si="65"/>
        <v>46054</v>
      </c>
    </row>
    <row r="2058" spans="1:9" x14ac:dyDescent="0.2">
      <c r="A2058">
        <v>2026</v>
      </c>
      <c r="B2058">
        <v>2</v>
      </c>
      <c r="C2058" t="s">
        <v>55</v>
      </c>
      <c r="D2058" t="s">
        <v>60</v>
      </c>
      <c r="E2058" t="s">
        <v>65</v>
      </c>
      <c r="F2058" s="14">
        <v>29977577</v>
      </c>
      <c r="G2058" s="14">
        <v>18735983</v>
      </c>
      <c r="H2058">
        <f t="shared" si="64"/>
        <v>1</v>
      </c>
      <c r="I2058" s="20">
        <f t="shared" si="65"/>
        <v>46054</v>
      </c>
    </row>
    <row r="2059" spans="1:9" x14ac:dyDescent="0.2">
      <c r="A2059">
        <v>2026</v>
      </c>
      <c r="B2059">
        <v>2</v>
      </c>
      <c r="C2059" t="s">
        <v>62</v>
      </c>
      <c r="D2059" t="s">
        <v>60</v>
      </c>
      <c r="E2059" t="s">
        <v>65</v>
      </c>
      <c r="F2059" s="14">
        <v>9914155</v>
      </c>
      <c r="G2059" s="14">
        <v>6196347</v>
      </c>
      <c r="H2059">
        <f t="shared" si="64"/>
        <v>1</v>
      </c>
      <c r="I2059" s="20">
        <f t="shared" si="65"/>
        <v>46054</v>
      </c>
    </row>
    <row r="2060" spans="1:9" x14ac:dyDescent="0.2">
      <c r="A2060">
        <v>2026</v>
      </c>
      <c r="B2060">
        <v>2</v>
      </c>
      <c r="C2060" t="s">
        <v>64</v>
      </c>
      <c r="D2060" t="s">
        <v>60</v>
      </c>
      <c r="E2060" t="s">
        <v>61</v>
      </c>
      <c r="F2060" s="14">
        <v>142666</v>
      </c>
      <c r="G2060" s="14">
        <v>95110</v>
      </c>
      <c r="H2060">
        <f t="shared" si="64"/>
        <v>0</v>
      </c>
      <c r="I2060" s="20">
        <f t="shared" si="65"/>
        <v>46054</v>
      </c>
    </row>
    <row r="2061" spans="1:9" x14ac:dyDescent="0.2">
      <c r="A2061">
        <v>2026</v>
      </c>
      <c r="B2061">
        <v>2</v>
      </c>
      <c r="C2061" t="s">
        <v>55</v>
      </c>
      <c r="D2061" t="s">
        <v>66</v>
      </c>
      <c r="E2061" t="s">
        <v>63</v>
      </c>
      <c r="F2061" s="14">
        <v>5925891</v>
      </c>
      <c r="G2061" s="14">
        <v>3485818</v>
      </c>
      <c r="H2061">
        <f t="shared" si="64"/>
        <v>0</v>
      </c>
      <c r="I2061" s="20">
        <f t="shared" si="65"/>
        <v>46054</v>
      </c>
    </row>
    <row r="2062" spans="1:9" x14ac:dyDescent="0.2">
      <c r="A2062">
        <v>2026</v>
      </c>
      <c r="B2062">
        <v>2</v>
      </c>
      <c r="C2062" t="s">
        <v>55</v>
      </c>
      <c r="D2062" t="s">
        <v>66</v>
      </c>
      <c r="E2062" t="s">
        <v>67</v>
      </c>
      <c r="F2062" s="14">
        <v>4164437</v>
      </c>
      <c r="G2062" s="14">
        <v>2776268</v>
      </c>
      <c r="H2062">
        <f t="shared" si="64"/>
        <v>0</v>
      </c>
      <c r="I2062" s="20">
        <f t="shared" si="65"/>
        <v>46054</v>
      </c>
    </row>
    <row r="2063" spans="1:9" x14ac:dyDescent="0.2">
      <c r="A2063">
        <v>2026</v>
      </c>
      <c r="B2063">
        <v>2</v>
      </c>
      <c r="C2063" t="s">
        <v>55</v>
      </c>
      <c r="D2063" t="s">
        <v>66</v>
      </c>
      <c r="E2063" t="s">
        <v>75</v>
      </c>
      <c r="F2063" s="14">
        <v>3606498</v>
      </c>
      <c r="G2063" s="14">
        <v>2576070</v>
      </c>
      <c r="H2063">
        <f t="shared" si="64"/>
        <v>0</v>
      </c>
      <c r="I2063" s="20">
        <f t="shared" si="65"/>
        <v>46054</v>
      </c>
    </row>
    <row r="2064" spans="1:9" x14ac:dyDescent="0.2">
      <c r="A2064">
        <v>2026</v>
      </c>
      <c r="B2064">
        <v>2</v>
      </c>
      <c r="C2064" t="s">
        <v>55</v>
      </c>
      <c r="D2064" t="s">
        <v>66</v>
      </c>
      <c r="E2064" t="s">
        <v>68</v>
      </c>
      <c r="F2064" s="14">
        <v>2203051</v>
      </c>
      <c r="G2064" s="14">
        <v>2203051</v>
      </c>
      <c r="H2064">
        <f t="shared" si="64"/>
        <v>0</v>
      </c>
      <c r="I2064" s="20">
        <f t="shared" si="65"/>
        <v>46054</v>
      </c>
    </row>
    <row r="2065" spans="1:9" x14ac:dyDescent="0.2">
      <c r="A2065">
        <v>2026</v>
      </c>
      <c r="B2065">
        <v>2</v>
      </c>
      <c r="C2065" t="s">
        <v>55</v>
      </c>
      <c r="D2065" t="s">
        <v>66</v>
      </c>
      <c r="E2065" t="s">
        <v>74</v>
      </c>
      <c r="F2065" s="14">
        <v>616702</v>
      </c>
      <c r="G2065" s="14">
        <v>560636</v>
      </c>
      <c r="H2065">
        <f t="shared" si="64"/>
        <v>0</v>
      </c>
      <c r="I2065" s="20">
        <f t="shared" si="65"/>
        <v>46054</v>
      </c>
    </row>
    <row r="2066" spans="1:9" x14ac:dyDescent="0.2">
      <c r="A2066">
        <v>2026</v>
      </c>
      <c r="B2066">
        <v>2</v>
      </c>
      <c r="C2066" t="s">
        <v>55</v>
      </c>
      <c r="D2066" t="s">
        <v>66</v>
      </c>
      <c r="E2066" t="s">
        <v>69</v>
      </c>
      <c r="F2066" s="14">
        <v>591469</v>
      </c>
      <c r="G2066" s="14">
        <v>369667</v>
      </c>
      <c r="H2066">
        <f t="shared" si="64"/>
        <v>0</v>
      </c>
      <c r="I2066" s="20">
        <f t="shared" si="65"/>
        <v>46054</v>
      </c>
    </row>
    <row r="2067" spans="1:9" x14ac:dyDescent="0.2">
      <c r="A2067">
        <v>2026</v>
      </c>
      <c r="B2067">
        <v>2</v>
      </c>
      <c r="C2067" t="s">
        <v>55</v>
      </c>
      <c r="D2067" t="s">
        <v>66</v>
      </c>
      <c r="E2067" t="s">
        <v>81</v>
      </c>
      <c r="F2067" s="14">
        <v>78961</v>
      </c>
      <c r="G2067" s="14">
        <v>78961</v>
      </c>
      <c r="H2067">
        <f t="shared" si="64"/>
        <v>0</v>
      </c>
      <c r="I2067" s="20">
        <f t="shared" si="65"/>
        <v>46054</v>
      </c>
    </row>
    <row r="2068" spans="1:9" x14ac:dyDescent="0.2">
      <c r="A2068">
        <v>2026</v>
      </c>
      <c r="B2068">
        <v>2</v>
      </c>
      <c r="C2068" t="s">
        <v>55</v>
      </c>
      <c r="D2068" t="s">
        <v>66</v>
      </c>
      <c r="E2068" t="s">
        <v>80</v>
      </c>
      <c r="F2068" s="14">
        <v>45113</v>
      </c>
      <c r="G2068" s="14">
        <v>45113</v>
      </c>
      <c r="H2068">
        <f t="shared" si="64"/>
        <v>0</v>
      </c>
      <c r="I2068" s="20">
        <f t="shared" si="65"/>
        <v>46054</v>
      </c>
    </row>
    <row r="2069" spans="1:9" x14ac:dyDescent="0.2">
      <c r="A2069">
        <v>2026</v>
      </c>
      <c r="B2069">
        <v>2</v>
      </c>
      <c r="C2069" t="s">
        <v>55</v>
      </c>
      <c r="D2069" t="s">
        <v>70</v>
      </c>
      <c r="E2069" t="s">
        <v>68</v>
      </c>
      <c r="F2069" s="14">
        <v>1142313459</v>
      </c>
      <c r="G2069" s="14">
        <v>1142313459</v>
      </c>
      <c r="H2069">
        <f t="shared" si="64"/>
        <v>0</v>
      </c>
      <c r="I2069" s="20">
        <f t="shared" si="65"/>
        <v>46054</v>
      </c>
    </row>
    <row r="2070" spans="1:9" x14ac:dyDescent="0.2">
      <c r="A2070">
        <v>2026</v>
      </c>
      <c r="B2070">
        <v>2</v>
      </c>
      <c r="C2070" t="s">
        <v>64</v>
      </c>
      <c r="D2070" t="s">
        <v>70</v>
      </c>
      <c r="E2070" t="s">
        <v>68</v>
      </c>
      <c r="F2070" s="14">
        <v>1139192</v>
      </c>
      <c r="G2070" s="14">
        <v>1139192</v>
      </c>
      <c r="H2070">
        <f t="shared" si="64"/>
        <v>0</v>
      </c>
      <c r="I2070" s="20">
        <f t="shared" si="65"/>
        <v>46054</v>
      </c>
    </row>
    <row r="2071" spans="1:9" x14ac:dyDescent="0.2">
      <c r="A2071">
        <v>2026</v>
      </c>
      <c r="B2071">
        <v>3</v>
      </c>
      <c r="C2071" t="s">
        <v>55</v>
      </c>
      <c r="D2071" t="s">
        <v>56</v>
      </c>
      <c r="E2071" t="s">
        <v>80</v>
      </c>
      <c r="F2071" s="14">
        <v>110064731</v>
      </c>
      <c r="G2071" s="14">
        <v>110064731</v>
      </c>
      <c r="H2071">
        <f t="shared" si="64"/>
        <v>0</v>
      </c>
      <c r="I2071" s="20">
        <f t="shared" si="65"/>
        <v>46082</v>
      </c>
    </row>
    <row r="2072" spans="1:9" x14ac:dyDescent="0.2">
      <c r="A2072">
        <v>2026</v>
      </c>
      <c r="B2072">
        <v>3</v>
      </c>
      <c r="C2072" t="s">
        <v>55</v>
      </c>
      <c r="D2072" t="s">
        <v>56</v>
      </c>
      <c r="E2072" t="s">
        <v>57</v>
      </c>
      <c r="F2072" s="14">
        <v>7615155</v>
      </c>
      <c r="G2072" s="14">
        <v>7615155</v>
      </c>
      <c r="H2072">
        <f t="shared" si="64"/>
        <v>0</v>
      </c>
      <c r="I2072" s="20">
        <f t="shared" si="65"/>
        <v>46082</v>
      </c>
    </row>
    <row r="2073" spans="1:9" x14ac:dyDescent="0.2">
      <c r="A2073">
        <v>2026</v>
      </c>
      <c r="B2073">
        <v>3</v>
      </c>
      <c r="C2073" t="s">
        <v>55</v>
      </c>
      <c r="D2073" t="s">
        <v>56</v>
      </c>
      <c r="E2073" t="s">
        <v>81</v>
      </c>
      <c r="F2073" s="14">
        <v>84609</v>
      </c>
      <c r="G2073" s="14">
        <v>84609</v>
      </c>
      <c r="H2073">
        <f t="shared" si="64"/>
        <v>0</v>
      </c>
      <c r="I2073" s="20">
        <f t="shared" si="65"/>
        <v>46082</v>
      </c>
    </row>
    <row r="2074" spans="1:9" x14ac:dyDescent="0.2">
      <c r="A2074">
        <v>2026</v>
      </c>
      <c r="B2074">
        <v>3</v>
      </c>
      <c r="C2074" t="s">
        <v>55</v>
      </c>
      <c r="D2074" t="s">
        <v>60</v>
      </c>
      <c r="E2074" t="s">
        <v>63</v>
      </c>
      <c r="F2074" s="14">
        <v>438836037</v>
      </c>
      <c r="G2074" s="14">
        <v>258138824</v>
      </c>
      <c r="H2074">
        <f t="shared" si="64"/>
        <v>0</v>
      </c>
      <c r="I2074" s="20">
        <f t="shared" si="65"/>
        <v>46082</v>
      </c>
    </row>
    <row r="2075" spans="1:9" x14ac:dyDescent="0.2">
      <c r="A2075">
        <v>2026</v>
      </c>
      <c r="B2075">
        <v>3</v>
      </c>
      <c r="C2075" t="s">
        <v>55</v>
      </c>
      <c r="D2075" t="s">
        <v>60</v>
      </c>
      <c r="E2075" t="s">
        <v>61</v>
      </c>
      <c r="F2075" s="14">
        <v>176925442</v>
      </c>
      <c r="G2075" s="14">
        <v>117948980</v>
      </c>
      <c r="H2075">
        <f t="shared" si="64"/>
        <v>0</v>
      </c>
      <c r="I2075" s="20">
        <f t="shared" si="65"/>
        <v>46082</v>
      </c>
    </row>
    <row r="2076" spans="1:9" x14ac:dyDescent="0.2">
      <c r="A2076">
        <v>2026</v>
      </c>
      <c r="B2076">
        <v>3</v>
      </c>
      <c r="C2076" t="s">
        <v>55</v>
      </c>
      <c r="D2076" t="s">
        <v>60</v>
      </c>
      <c r="E2076" t="s">
        <v>65</v>
      </c>
      <c r="F2076" s="14">
        <v>38207405</v>
      </c>
      <c r="G2076" s="14">
        <v>23879627</v>
      </c>
      <c r="H2076">
        <f t="shared" si="64"/>
        <v>1</v>
      </c>
      <c r="I2076" s="20">
        <f t="shared" si="65"/>
        <v>46082</v>
      </c>
    </row>
    <row r="2077" spans="1:9" x14ac:dyDescent="0.2">
      <c r="A2077">
        <v>2026</v>
      </c>
      <c r="B2077">
        <v>3</v>
      </c>
      <c r="C2077" t="s">
        <v>64</v>
      </c>
      <c r="D2077" t="s">
        <v>60</v>
      </c>
      <c r="E2077" t="s">
        <v>61</v>
      </c>
      <c r="F2077" s="14">
        <v>178331</v>
      </c>
      <c r="G2077" s="14">
        <v>118886</v>
      </c>
      <c r="H2077">
        <f t="shared" si="64"/>
        <v>0</v>
      </c>
      <c r="I2077" s="20">
        <f t="shared" si="65"/>
        <v>46082</v>
      </c>
    </row>
    <row r="2078" spans="1:9" x14ac:dyDescent="0.2">
      <c r="A2078">
        <v>2026</v>
      </c>
      <c r="B2078">
        <v>3</v>
      </c>
      <c r="C2078" t="s">
        <v>55</v>
      </c>
      <c r="D2078" t="s">
        <v>66</v>
      </c>
      <c r="E2078" t="s">
        <v>63</v>
      </c>
      <c r="F2078" s="14">
        <v>9898286</v>
      </c>
      <c r="G2078" s="14">
        <v>5822521</v>
      </c>
      <c r="H2078">
        <f t="shared" si="64"/>
        <v>0</v>
      </c>
      <c r="I2078" s="20">
        <f t="shared" si="65"/>
        <v>46082</v>
      </c>
    </row>
    <row r="2079" spans="1:9" x14ac:dyDescent="0.2">
      <c r="A2079">
        <v>2026</v>
      </c>
      <c r="B2079">
        <v>3</v>
      </c>
      <c r="C2079" t="s">
        <v>55</v>
      </c>
      <c r="D2079" t="s">
        <v>66</v>
      </c>
      <c r="E2079" t="s">
        <v>75</v>
      </c>
      <c r="F2079" s="14">
        <v>8870449</v>
      </c>
      <c r="G2079" s="14">
        <v>6336036</v>
      </c>
      <c r="H2079">
        <f t="shared" si="64"/>
        <v>0</v>
      </c>
      <c r="I2079" s="20">
        <f t="shared" si="65"/>
        <v>46082</v>
      </c>
    </row>
    <row r="2080" spans="1:9" x14ac:dyDescent="0.2">
      <c r="A2080">
        <v>2026</v>
      </c>
      <c r="B2080">
        <v>3</v>
      </c>
      <c r="C2080" t="s">
        <v>55</v>
      </c>
      <c r="D2080" t="s">
        <v>66</v>
      </c>
      <c r="E2080" t="s">
        <v>67</v>
      </c>
      <c r="F2080" s="14">
        <v>3895418</v>
      </c>
      <c r="G2080" s="14">
        <v>2596927</v>
      </c>
      <c r="H2080">
        <f t="shared" si="64"/>
        <v>0</v>
      </c>
      <c r="I2080" s="20">
        <f t="shared" si="65"/>
        <v>46082</v>
      </c>
    </row>
    <row r="2081" spans="1:9" x14ac:dyDescent="0.2">
      <c r="A2081">
        <v>2026</v>
      </c>
      <c r="B2081">
        <v>3</v>
      </c>
      <c r="C2081" t="s">
        <v>55</v>
      </c>
      <c r="D2081" t="s">
        <v>66</v>
      </c>
      <c r="E2081" t="s">
        <v>68</v>
      </c>
      <c r="F2081" s="14">
        <v>2841832</v>
      </c>
      <c r="G2081" s="14">
        <v>2841832</v>
      </c>
      <c r="H2081">
        <f t="shared" si="64"/>
        <v>0</v>
      </c>
      <c r="I2081" s="20">
        <f t="shared" si="65"/>
        <v>46082</v>
      </c>
    </row>
    <row r="2082" spans="1:9" x14ac:dyDescent="0.2">
      <c r="A2082">
        <v>2026</v>
      </c>
      <c r="B2082">
        <v>3</v>
      </c>
      <c r="C2082" t="s">
        <v>55</v>
      </c>
      <c r="D2082" t="s">
        <v>66</v>
      </c>
      <c r="E2082" t="s">
        <v>74</v>
      </c>
      <c r="F2082" s="14">
        <v>544280</v>
      </c>
      <c r="G2082" s="14">
        <v>494797</v>
      </c>
      <c r="H2082">
        <f t="shared" si="64"/>
        <v>0</v>
      </c>
      <c r="I2082" s="20">
        <f t="shared" si="65"/>
        <v>46082</v>
      </c>
    </row>
    <row r="2083" spans="1:9" x14ac:dyDescent="0.2">
      <c r="A2083">
        <v>2026</v>
      </c>
      <c r="B2083">
        <v>3</v>
      </c>
      <c r="C2083" t="s">
        <v>55</v>
      </c>
      <c r="D2083" t="s">
        <v>66</v>
      </c>
      <c r="E2083" t="s">
        <v>69</v>
      </c>
      <c r="F2083" s="14">
        <v>521207</v>
      </c>
      <c r="G2083" s="14">
        <v>325754</v>
      </c>
      <c r="H2083">
        <f t="shared" si="64"/>
        <v>0</v>
      </c>
      <c r="I2083" s="20">
        <f t="shared" si="65"/>
        <v>46082</v>
      </c>
    </row>
    <row r="2084" spans="1:9" x14ac:dyDescent="0.2">
      <c r="A2084">
        <v>2026</v>
      </c>
      <c r="B2084">
        <v>3</v>
      </c>
      <c r="C2084" t="s">
        <v>55</v>
      </c>
      <c r="D2084" t="s">
        <v>66</v>
      </c>
      <c r="E2084" t="s">
        <v>81</v>
      </c>
      <c r="F2084" s="14">
        <v>75628</v>
      </c>
      <c r="G2084" s="14">
        <v>75628</v>
      </c>
      <c r="H2084">
        <f t="shared" si="64"/>
        <v>0</v>
      </c>
      <c r="I2084" s="20">
        <f t="shared" si="65"/>
        <v>46082</v>
      </c>
    </row>
    <row r="2085" spans="1:9" x14ac:dyDescent="0.2">
      <c r="A2085">
        <v>2026</v>
      </c>
      <c r="B2085">
        <v>3</v>
      </c>
      <c r="C2085" t="s">
        <v>55</v>
      </c>
      <c r="D2085" t="s">
        <v>66</v>
      </c>
      <c r="E2085" t="s">
        <v>80</v>
      </c>
      <c r="F2085" s="14">
        <v>49845</v>
      </c>
      <c r="G2085" s="14">
        <v>49845</v>
      </c>
      <c r="H2085">
        <f t="shared" si="64"/>
        <v>0</v>
      </c>
      <c r="I2085" s="20">
        <f t="shared" si="65"/>
        <v>46082</v>
      </c>
    </row>
    <row r="2086" spans="1:9" x14ac:dyDescent="0.2">
      <c r="A2086">
        <v>2026</v>
      </c>
      <c r="B2086">
        <v>3</v>
      </c>
      <c r="C2086" t="s">
        <v>55</v>
      </c>
      <c r="D2086" t="s">
        <v>70</v>
      </c>
      <c r="E2086" t="s">
        <v>68</v>
      </c>
      <c r="F2086" s="14">
        <v>1238268727</v>
      </c>
      <c r="G2086" s="14">
        <v>1238268727</v>
      </c>
      <c r="H2086">
        <f t="shared" si="64"/>
        <v>0</v>
      </c>
      <c r="I2086" s="20">
        <f t="shared" si="65"/>
        <v>46082</v>
      </c>
    </row>
    <row r="2087" spans="1:9" x14ac:dyDescent="0.2">
      <c r="A2087">
        <v>2026</v>
      </c>
      <c r="B2087">
        <v>3</v>
      </c>
      <c r="C2087" t="s">
        <v>64</v>
      </c>
      <c r="D2087" t="s">
        <v>70</v>
      </c>
      <c r="E2087" t="s">
        <v>68</v>
      </c>
      <c r="F2087" s="14">
        <v>1127950</v>
      </c>
      <c r="G2087" s="14">
        <v>1127950</v>
      </c>
      <c r="H2087">
        <f t="shared" si="64"/>
        <v>0</v>
      </c>
      <c r="I2087" s="20">
        <f t="shared" si="65"/>
        <v>46082</v>
      </c>
    </row>
    <row r="2088" spans="1:9" x14ac:dyDescent="0.2">
      <c r="A2088">
        <v>2026</v>
      </c>
      <c r="B2088">
        <v>4</v>
      </c>
      <c r="C2088" t="s">
        <v>55</v>
      </c>
      <c r="D2088" t="s">
        <v>56</v>
      </c>
      <c r="E2088" t="s">
        <v>80</v>
      </c>
      <c r="F2088" s="14">
        <v>112063578</v>
      </c>
      <c r="G2088" s="14">
        <v>112063578</v>
      </c>
      <c r="H2088">
        <f t="shared" si="64"/>
        <v>0</v>
      </c>
      <c r="I2088" s="20">
        <f t="shared" si="65"/>
        <v>46113</v>
      </c>
    </row>
    <row r="2089" spans="1:9" x14ac:dyDescent="0.2">
      <c r="A2089">
        <v>2026</v>
      </c>
      <c r="B2089">
        <v>4</v>
      </c>
      <c r="C2089" t="s">
        <v>55</v>
      </c>
      <c r="D2089" t="s">
        <v>56</v>
      </c>
      <c r="E2089" t="s">
        <v>57</v>
      </c>
      <c r="F2089" s="14">
        <v>6561632</v>
      </c>
      <c r="G2089" s="14">
        <v>6561632</v>
      </c>
      <c r="H2089">
        <f t="shared" si="64"/>
        <v>0</v>
      </c>
      <c r="I2089" s="20">
        <f t="shared" si="65"/>
        <v>46113</v>
      </c>
    </row>
    <row r="2090" spans="1:9" x14ac:dyDescent="0.2">
      <c r="A2090">
        <v>2026</v>
      </c>
      <c r="B2090">
        <v>4</v>
      </c>
      <c r="C2090" t="s">
        <v>64</v>
      </c>
      <c r="D2090" t="s">
        <v>56</v>
      </c>
      <c r="E2090" t="s">
        <v>80</v>
      </c>
      <c r="F2090" s="14">
        <v>4420005</v>
      </c>
      <c r="G2090" s="14">
        <v>4420005</v>
      </c>
      <c r="H2090">
        <f t="shared" si="64"/>
        <v>0</v>
      </c>
      <c r="I2090" s="20">
        <f t="shared" si="65"/>
        <v>46113</v>
      </c>
    </row>
    <row r="2091" spans="1:9" x14ac:dyDescent="0.2">
      <c r="A2091">
        <v>2026</v>
      </c>
      <c r="B2091">
        <v>4</v>
      </c>
      <c r="C2091" t="s">
        <v>55</v>
      </c>
      <c r="D2091" t="s">
        <v>56</v>
      </c>
      <c r="E2091" t="s">
        <v>81</v>
      </c>
      <c r="F2091" s="14">
        <v>75811</v>
      </c>
      <c r="G2091" s="14">
        <v>75811</v>
      </c>
      <c r="H2091">
        <f t="shared" si="64"/>
        <v>0</v>
      </c>
      <c r="I2091" s="20">
        <f t="shared" si="65"/>
        <v>46113</v>
      </c>
    </row>
    <row r="2092" spans="1:9" x14ac:dyDescent="0.2">
      <c r="A2092">
        <v>2026</v>
      </c>
      <c r="B2092">
        <v>4</v>
      </c>
      <c r="C2092" t="s">
        <v>55</v>
      </c>
      <c r="D2092" t="s">
        <v>60</v>
      </c>
      <c r="E2092" t="s">
        <v>63</v>
      </c>
      <c r="F2092" s="14">
        <v>460757235</v>
      </c>
      <c r="G2092" s="14">
        <v>271033634</v>
      </c>
      <c r="H2092">
        <f t="shared" si="64"/>
        <v>0</v>
      </c>
      <c r="I2092" s="20">
        <f t="shared" si="65"/>
        <v>46113</v>
      </c>
    </row>
    <row r="2093" spans="1:9" x14ac:dyDescent="0.2">
      <c r="A2093">
        <v>2026</v>
      </c>
      <c r="B2093">
        <v>4</v>
      </c>
      <c r="C2093" t="s">
        <v>55</v>
      </c>
      <c r="D2093" t="s">
        <v>60</v>
      </c>
      <c r="E2093" t="s">
        <v>61</v>
      </c>
      <c r="F2093" s="14">
        <v>194298775</v>
      </c>
      <c r="G2093" s="14">
        <v>129530739</v>
      </c>
      <c r="H2093">
        <f t="shared" si="64"/>
        <v>0</v>
      </c>
      <c r="I2093" s="20">
        <f t="shared" si="65"/>
        <v>46113</v>
      </c>
    </row>
    <row r="2094" spans="1:9" x14ac:dyDescent="0.2">
      <c r="A2094">
        <v>2026</v>
      </c>
      <c r="B2094">
        <v>4</v>
      </c>
      <c r="C2094" t="s">
        <v>55</v>
      </c>
      <c r="D2094" t="s">
        <v>60</v>
      </c>
      <c r="E2094" t="s">
        <v>65</v>
      </c>
      <c r="F2094" s="14">
        <v>35495768</v>
      </c>
      <c r="G2094" s="14">
        <v>22184855</v>
      </c>
      <c r="H2094">
        <f t="shared" si="64"/>
        <v>1</v>
      </c>
      <c r="I2094" s="20">
        <f t="shared" si="65"/>
        <v>46113</v>
      </c>
    </row>
    <row r="2095" spans="1:9" x14ac:dyDescent="0.2">
      <c r="A2095">
        <v>2026</v>
      </c>
      <c r="B2095">
        <v>4</v>
      </c>
      <c r="C2095" t="s">
        <v>62</v>
      </c>
      <c r="D2095" t="s">
        <v>60</v>
      </c>
      <c r="E2095" t="s">
        <v>65</v>
      </c>
      <c r="F2095" s="14">
        <v>19480746</v>
      </c>
      <c r="G2095" s="14">
        <v>12175466</v>
      </c>
      <c r="H2095">
        <f t="shared" si="64"/>
        <v>1</v>
      </c>
      <c r="I2095" s="20">
        <f t="shared" si="65"/>
        <v>46113</v>
      </c>
    </row>
    <row r="2096" spans="1:9" x14ac:dyDescent="0.2">
      <c r="A2096">
        <v>2026</v>
      </c>
      <c r="B2096">
        <v>4</v>
      </c>
      <c r="C2096" t="s">
        <v>64</v>
      </c>
      <c r="D2096" t="s">
        <v>60</v>
      </c>
      <c r="E2096" t="s">
        <v>61</v>
      </c>
      <c r="F2096" s="14">
        <v>158513</v>
      </c>
      <c r="G2096" s="14">
        <v>105675</v>
      </c>
      <c r="H2096">
        <f t="shared" si="64"/>
        <v>0</v>
      </c>
      <c r="I2096" s="20">
        <f t="shared" si="65"/>
        <v>46113</v>
      </c>
    </row>
    <row r="2097" spans="1:9" x14ac:dyDescent="0.2">
      <c r="A2097">
        <v>2026</v>
      </c>
      <c r="B2097">
        <v>4</v>
      </c>
      <c r="C2097" t="s">
        <v>55</v>
      </c>
      <c r="D2097" t="s">
        <v>66</v>
      </c>
      <c r="E2097" t="s">
        <v>75</v>
      </c>
      <c r="F2097" s="14">
        <v>8685897</v>
      </c>
      <c r="G2097" s="14">
        <v>6204212</v>
      </c>
      <c r="H2097">
        <f t="shared" si="64"/>
        <v>0</v>
      </c>
      <c r="I2097" s="20">
        <f t="shared" si="65"/>
        <v>46113</v>
      </c>
    </row>
    <row r="2098" spans="1:9" x14ac:dyDescent="0.2">
      <c r="A2098">
        <v>2026</v>
      </c>
      <c r="B2098">
        <v>4</v>
      </c>
      <c r="C2098" t="s">
        <v>55</v>
      </c>
      <c r="D2098" t="s">
        <v>66</v>
      </c>
      <c r="E2098" t="s">
        <v>63</v>
      </c>
      <c r="F2098" s="14">
        <v>5859228</v>
      </c>
      <c r="G2098" s="14">
        <v>3446605</v>
      </c>
      <c r="H2098">
        <f t="shared" si="64"/>
        <v>0</v>
      </c>
      <c r="I2098" s="20">
        <f t="shared" si="65"/>
        <v>46113</v>
      </c>
    </row>
    <row r="2099" spans="1:9" x14ac:dyDescent="0.2">
      <c r="A2099">
        <v>2026</v>
      </c>
      <c r="B2099">
        <v>4</v>
      </c>
      <c r="C2099" t="s">
        <v>55</v>
      </c>
      <c r="D2099" t="s">
        <v>66</v>
      </c>
      <c r="E2099" t="s">
        <v>68</v>
      </c>
      <c r="F2099" s="14">
        <v>2596100</v>
      </c>
      <c r="G2099" s="14">
        <v>2596100</v>
      </c>
      <c r="H2099">
        <f t="shared" si="64"/>
        <v>0</v>
      </c>
      <c r="I2099" s="20">
        <f t="shared" si="65"/>
        <v>46113</v>
      </c>
    </row>
    <row r="2100" spans="1:9" x14ac:dyDescent="0.2">
      <c r="A2100">
        <v>2026</v>
      </c>
      <c r="B2100">
        <v>4</v>
      </c>
      <c r="C2100" t="s">
        <v>55</v>
      </c>
      <c r="D2100" t="s">
        <v>66</v>
      </c>
      <c r="E2100" t="s">
        <v>67</v>
      </c>
      <c r="F2100" s="14">
        <v>2576915</v>
      </c>
      <c r="G2100" s="14">
        <v>1717928</v>
      </c>
      <c r="H2100">
        <f t="shared" si="64"/>
        <v>0</v>
      </c>
      <c r="I2100" s="20">
        <f t="shared" si="65"/>
        <v>46113</v>
      </c>
    </row>
    <row r="2101" spans="1:9" x14ac:dyDescent="0.2">
      <c r="A2101">
        <v>2026</v>
      </c>
      <c r="B2101">
        <v>4</v>
      </c>
      <c r="C2101" t="s">
        <v>55</v>
      </c>
      <c r="D2101" t="s">
        <v>66</v>
      </c>
      <c r="E2101" t="s">
        <v>74</v>
      </c>
      <c r="F2101" s="14">
        <v>436821</v>
      </c>
      <c r="G2101" s="14">
        <v>397107</v>
      </c>
      <c r="H2101">
        <f t="shared" si="64"/>
        <v>0</v>
      </c>
      <c r="I2101" s="20">
        <f t="shared" si="65"/>
        <v>46113</v>
      </c>
    </row>
    <row r="2102" spans="1:9" x14ac:dyDescent="0.2">
      <c r="A2102">
        <v>2026</v>
      </c>
      <c r="B2102">
        <v>4</v>
      </c>
      <c r="C2102" t="s">
        <v>55</v>
      </c>
      <c r="D2102" t="s">
        <v>66</v>
      </c>
      <c r="E2102" t="s">
        <v>69</v>
      </c>
      <c r="F2102" s="14">
        <v>264087</v>
      </c>
      <c r="G2102" s="14">
        <v>165053</v>
      </c>
      <c r="H2102">
        <f t="shared" si="64"/>
        <v>0</v>
      </c>
      <c r="I2102" s="20">
        <f t="shared" si="65"/>
        <v>46113</v>
      </c>
    </row>
    <row r="2103" spans="1:9" x14ac:dyDescent="0.2">
      <c r="A2103">
        <v>2026</v>
      </c>
      <c r="B2103">
        <v>4</v>
      </c>
      <c r="C2103" t="s">
        <v>55</v>
      </c>
      <c r="D2103" t="s">
        <v>66</v>
      </c>
      <c r="E2103" t="s">
        <v>81</v>
      </c>
      <c r="F2103" s="14">
        <v>79581</v>
      </c>
      <c r="G2103" s="14">
        <v>79581</v>
      </c>
      <c r="H2103">
        <f t="shared" si="64"/>
        <v>0</v>
      </c>
      <c r="I2103" s="20">
        <f t="shared" si="65"/>
        <v>46113</v>
      </c>
    </row>
    <row r="2104" spans="1:9" x14ac:dyDescent="0.2">
      <c r="A2104">
        <v>2026</v>
      </c>
      <c r="B2104">
        <v>4</v>
      </c>
      <c r="C2104" t="s">
        <v>55</v>
      </c>
      <c r="D2104" t="s">
        <v>66</v>
      </c>
      <c r="E2104" t="s">
        <v>80</v>
      </c>
      <c r="F2104" s="14">
        <v>50983</v>
      </c>
      <c r="G2104" s="14">
        <v>50983</v>
      </c>
      <c r="H2104">
        <f t="shared" si="64"/>
        <v>0</v>
      </c>
      <c r="I2104" s="20">
        <f t="shared" si="65"/>
        <v>46113</v>
      </c>
    </row>
    <row r="2105" spans="1:9" x14ac:dyDescent="0.2">
      <c r="A2105">
        <v>2026</v>
      </c>
      <c r="B2105">
        <v>4</v>
      </c>
      <c r="C2105" t="s">
        <v>55</v>
      </c>
      <c r="D2105" t="s">
        <v>70</v>
      </c>
      <c r="E2105" t="s">
        <v>68</v>
      </c>
      <c r="F2105" s="14">
        <v>1217388512</v>
      </c>
      <c r="G2105" s="14">
        <v>1217388512</v>
      </c>
      <c r="H2105">
        <f t="shared" si="64"/>
        <v>0</v>
      </c>
      <c r="I2105" s="20">
        <f t="shared" si="65"/>
        <v>46113</v>
      </c>
    </row>
    <row r="2106" spans="1:9" x14ac:dyDescent="0.2">
      <c r="A2106">
        <v>2026</v>
      </c>
      <c r="B2106">
        <v>4</v>
      </c>
      <c r="C2106" t="s">
        <v>64</v>
      </c>
      <c r="D2106" t="s">
        <v>70</v>
      </c>
      <c r="E2106" t="s">
        <v>68</v>
      </c>
      <c r="F2106" s="14">
        <v>954741</v>
      </c>
      <c r="G2106" s="14">
        <v>954741</v>
      </c>
      <c r="H2106">
        <f t="shared" si="64"/>
        <v>0</v>
      </c>
      <c r="I2106" s="20">
        <f t="shared" si="65"/>
        <v>46113</v>
      </c>
    </row>
    <row r="2107" spans="1:9" x14ac:dyDescent="0.2">
      <c r="A2107">
        <v>2026</v>
      </c>
      <c r="B2107">
        <v>5</v>
      </c>
      <c r="C2107" t="s">
        <v>55</v>
      </c>
      <c r="D2107" t="s">
        <v>56</v>
      </c>
      <c r="E2107" t="s">
        <v>80</v>
      </c>
      <c r="F2107" s="14">
        <v>117639596</v>
      </c>
      <c r="G2107" s="14">
        <v>117639596</v>
      </c>
      <c r="H2107">
        <f t="shared" si="64"/>
        <v>0</v>
      </c>
      <c r="I2107" s="20">
        <f t="shared" si="65"/>
        <v>46143</v>
      </c>
    </row>
    <row r="2108" spans="1:9" x14ac:dyDescent="0.2">
      <c r="A2108">
        <v>2026</v>
      </c>
      <c r="B2108">
        <v>5</v>
      </c>
      <c r="C2108" t="s">
        <v>55</v>
      </c>
      <c r="D2108" t="s">
        <v>56</v>
      </c>
      <c r="E2108" t="s">
        <v>57</v>
      </c>
      <c r="F2108" s="14">
        <v>7343938</v>
      </c>
      <c r="G2108" s="14">
        <v>7343938</v>
      </c>
      <c r="H2108">
        <f t="shared" si="64"/>
        <v>0</v>
      </c>
      <c r="I2108" s="20">
        <f t="shared" si="65"/>
        <v>46143</v>
      </c>
    </row>
    <row r="2109" spans="1:9" x14ac:dyDescent="0.2">
      <c r="A2109">
        <v>2026</v>
      </c>
      <c r="B2109">
        <v>5</v>
      </c>
      <c r="C2109" t="s">
        <v>64</v>
      </c>
      <c r="D2109" t="s">
        <v>56</v>
      </c>
      <c r="E2109" t="s">
        <v>80</v>
      </c>
      <c r="F2109" s="14">
        <v>4872041</v>
      </c>
      <c r="G2109" s="14">
        <v>4872041</v>
      </c>
      <c r="H2109">
        <f t="shared" si="64"/>
        <v>0</v>
      </c>
      <c r="I2109" s="20">
        <f t="shared" si="65"/>
        <v>46143</v>
      </c>
    </row>
    <row r="2110" spans="1:9" x14ac:dyDescent="0.2">
      <c r="A2110">
        <v>2026</v>
      </c>
      <c r="B2110">
        <v>5</v>
      </c>
      <c r="C2110" t="s">
        <v>55</v>
      </c>
      <c r="D2110" t="s">
        <v>56</v>
      </c>
      <c r="E2110" t="s">
        <v>81</v>
      </c>
      <c r="F2110" s="14">
        <v>64457</v>
      </c>
      <c r="G2110" s="14">
        <v>64457</v>
      </c>
      <c r="H2110">
        <f t="shared" si="64"/>
        <v>0</v>
      </c>
      <c r="I2110" s="20">
        <f t="shared" si="65"/>
        <v>46143</v>
      </c>
    </row>
    <row r="2111" spans="1:9" x14ac:dyDescent="0.2">
      <c r="A2111">
        <v>2026</v>
      </c>
      <c r="B2111">
        <v>5</v>
      </c>
      <c r="C2111" t="s">
        <v>55</v>
      </c>
      <c r="D2111" t="s">
        <v>60</v>
      </c>
      <c r="E2111" t="s">
        <v>63</v>
      </c>
      <c r="F2111" s="14">
        <v>489566111</v>
      </c>
      <c r="G2111" s="14">
        <v>287980010</v>
      </c>
      <c r="H2111">
        <f t="shared" si="64"/>
        <v>0</v>
      </c>
      <c r="I2111" s="20">
        <f t="shared" si="65"/>
        <v>46143</v>
      </c>
    </row>
    <row r="2112" spans="1:9" x14ac:dyDescent="0.2">
      <c r="A2112">
        <v>2026</v>
      </c>
      <c r="B2112">
        <v>5</v>
      </c>
      <c r="C2112" t="s">
        <v>55</v>
      </c>
      <c r="D2112" t="s">
        <v>60</v>
      </c>
      <c r="E2112" t="s">
        <v>61</v>
      </c>
      <c r="F2112" s="14">
        <v>188686894</v>
      </c>
      <c r="G2112" s="14">
        <v>125789456</v>
      </c>
      <c r="H2112">
        <f t="shared" si="64"/>
        <v>0</v>
      </c>
      <c r="I2112" s="20">
        <f t="shared" si="65"/>
        <v>46143</v>
      </c>
    </row>
    <row r="2113" spans="1:9" x14ac:dyDescent="0.2">
      <c r="A2113">
        <v>2026</v>
      </c>
      <c r="B2113">
        <v>5</v>
      </c>
      <c r="C2113" t="s">
        <v>55</v>
      </c>
      <c r="D2113" t="s">
        <v>60</v>
      </c>
      <c r="E2113" t="s">
        <v>65</v>
      </c>
      <c r="F2113" s="14">
        <v>40188605</v>
      </c>
      <c r="G2113" s="14">
        <v>25117876</v>
      </c>
      <c r="H2113">
        <f t="shared" si="64"/>
        <v>1</v>
      </c>
      <c r="I2113" s="20">
        <f t="shared" si="65"/>
        <v>46143</v>
      </c>
    </row>
    <row r="2114" spans="1:9" x14ac:dyDescent="0.2">
      <c r="A2114">
        <v>2026</v>
      </c>
      <c r="B2114">
        <v>5</v>
      </c>
      <c r="C2114" t="s">
        <v>64</v>
      </c>
      <c r="D2114" t="s">
        <v>60</v>
      </c>
      <c r="E2114" t="s">
        <v>63</v>
      </c>
      <c r="F2114" s="14">
        <v>16065561</v>
      </c>
      <c r="G2114" s="14">
        <v>9450330</v>
      </c>
      <c r="H2114">
        <f t="shared" si="64"/>
        <v>0</v>
      </c>
      <c r="I2114" s="20">
        <f t="shared" si="65"/>
        <v>46143</v>
      </c>
    </row>
    <row r="2115" spans="1:9" x14ac:dyDescent="0.2">
      <c r="A2115">
        <v>2026</v>
      </c>
      <c r="B2115">
        <v>5</v>
      </c>
      <c r="C2115" t="s">
        <v>64</v>
      </c>
      <c r="D2115" t="s">
        <v>60</v>
      </c>
      <c r="E2115" t="s">
        <v>61</v>
      </c>
      <c r="F2115" s="14">
        <v>2524592</v>
      </c>
      <c r="G2115" s="14">
        <v>1683061</v>
      </c>
      <c r="H2115">
        <f t="shared" ref="H2115:H2160" si="66">--ISNUMBER(SEARCH("Jet Fuel",E2115))</f>
        <v>0</v>
      </c>
      <c r="I2115" s="20">
        <f t="shared" ref="I2115:I2160" si="67">DATE(A2115,B2115,1)</f>
        <v>46143</v>
      </c>
    </row>
    <row r="2116" spans="1:9" x14ac:dyDescent="0.2">
      <c r="A2116">
        <v>2026</v>
      </c>
      <c r="B2116">
        <v>5</v>
      </c>
      <c r="C2116" t="s">
        <v>55</v>
      </c>
      <c r="D2116" t="s">
        <v>66</v>
      </c>
      <c r="E2116" t="s">
        <v>75</v>
      </c>
      <c r="F2116" s="14">
        <v>6438721</v>
      </c>
      <c r="G2116" s="14">
        <v>4599088</v>
      </c>
      <c r="H2116">
        <f t="shared" si="66"/>
        <v>0</v>
      </c>
      <c r="I2116" s="20">
        <f t="shared" si="67"/>
        <v>46143</v>
      </c>
    </row>
    <row r="2117" spans="1:9" x14ac:dyDescent="0.2">
      <c r="A2117">
        <v>2026</v>
      </c>
      <c r="B2117">
        <v>5</v>
      </c>
      <c r="C2117" t="s">
        <v>55</v>
      </c>
      <c r="D2117" t="s">
        <v>66</v>
      </c>
      <c r="E2117" t="s">
        <v>63</v>
      </c>
      <c r="F2117" s="14">
        <v>5543682</v>
      </c>
      <c r="G2117" s="14">
        <v>3260989</v>
      </c>
      <c r="H2117">
        <f t="shared" si="66"/>
        <v>0</v>
      </c>
      <c r="I2117" s="20">
        <f t="shared" si="67"/>
        <v>46143</v>
      </c>
    </row>
    <row r="2118" spans="1:9" x14ac:dyDescent="0.2">
      <c r="A2118">
        <v>2026</v>
      </c>
      <c r="B2118">
        <v>5</v>
      </c>
      <c r="C2118" t="s">
        <v>55</v>
      </c>
      <c r="D2118" t="s">
        <v>66</v>
      </c>
      <c r="E2118" t="s">
        <v>68</v>
      </c>
      <c r="F2118" s="14">
        <v>2885058</v>
      </c>
      <c r="G2118" s="14">
        <v>2885058</v>
      </c>
      <c r="H2118">
        <f t="shared" si="66"/>
        <v>0</v>
      </c>
      <c r="I2118" s="20">
        <f t="shared" si="67"/>
        <v>46143</v>
      </c>
    </row>
    <row r="2119" spans="1:9" x14ac:dyDescent="0.2">
      <c r="A2119">
        <v>2026</v>
      </c>
      <c r="B2119">
        <v>5</v>
      </c>
      <c r="C2119" t="s">
        <v>55</v>
      </c>
      <c r="D2119" t="s">
        <v>66</v>
      </c>
      <c r="E2119" t="s">
        <v>67</v>
      </c>
      <c r="F2119" s="14">
        <v>2790102</v>
      </c>
      <c r="G2119" s="14">
        <v>1860050</v>
      </c>
      <c r="H2119">
        <f t="shared" si="66"/>
        <v>0</v>
      </c>
      <c r="I2119" s="20">
        <f t="shared" si="67"/>
        <v>46143</v>
      </c>
    </row>
    <row r="2120" spans="1:9" x14ac:dyDescent="0.2">
      <c r="A2120">
        <v>2026</v>
      </c>
      <c r="B2120">
        <v>5</v>
      </c>
      <c r="C2120" t="s">
        <v>55</v>
      </c>
      <c r="D2120" t="s">
        <v>66</v>
      </c>
      <c r="E2120" t="s">
        <v>81</v>
      </c>
      <c r="F2120" s="14">
        <v>95439</v>
      </c>
      <c r="G2120" s="14">
        <v>95439</v>
      </c>
      <c r="H2120">
        <f t="shared" si="66"/>
        <v>0</v>
      </c>
      <c r="I2120" s="20">
        <f t="shared" si="67"/>
        <v>46143</v>
      </c>
    </row>
    <row r="2121" spans="1:9" x14ac:dyDescent="0.2">
      <c r="A2121">
        <v>2026</v>
      </c>
      <c r="B2121">
        <v>5</v>
      </c>
      <c r="C2121" t="s">
        <v>55</v>
      </c>
      <c r="D2121" t="s">
        <v>66</v>
      </c>
      <c r="E2121" t="s">
        <v>74</v>
      </c>
      <c r="F2121" s="14">
        <v>68811</v>
      </c>
      <c r="G2121" s="14">
        <v>62554</v>
      </c>
      <c r="H2121">
        <f t="shared" si="66"/>
        <v>0</v>
      </c>
      <c r="I2121" s="20">
        <f t="shared" si="67"/>
        <v>46143</v>
      </c>
    </row>
    <row r="2122" spans="1:9" x14ac:dyDescent="0.2">
      <c r="A2122">
        <v>2026</v>
      </c>
      <c r="B2122">
        <v>5</v>
      </c>
      <c r="C2122" t="s">
        <v>55</v>
      </c>
      <c r="D2122" t="s">
        <v>66</v>
      </c>
      <c r="E2122" t="s">
        <v>80</v>
      </c>
      <c r="F2122" s="14">
        <v>54702</v>
      </c>
      <c r="G2122" s="14">
        <v>54702</v>
      </c>
      <c r="H2122">
        <f t="shared" si="66"/>
        <v>0</v>
      </c>
      <c r="I2122" s="20">
        <f t="shared" si="67"/>
        <v>46143</v>
      </c>
    </row>
    <row r="2123" spans="1:9" x14ac:dyDescent="0.2">
      <c r="A2123">
        <v>2026</v>
      </c>
      <c r="B2123">
        <v>5</v>
      </c>
      <c r="C2123" t="s">
        <v>55</v>
      </c>
      <c r="D2123" t="s">
        <v>70</v>
      </c>
      <c r="E2123" t="s">
        <v>68</v>
      </c>
      <c r="F2123" s="14">
        <v>1257836610</v>
      </c>
      <c r="G2123" s="14">
        <v>1257836610</v>
      </c>
      <c r="H2123">
        <f t="shared" si="66"/>
        <v>0</v>
      </c>
      <c r="I2123" s="20">
        <f t="shared" si="67"/>
        <v>46143</v>
      </c>
    </row>
    <row r="2124" spans="1:9" x14ac:dyDescent="0.2">
      <c r="A2124">
        <v>2026</v>
      </c>
      <c r="B2124">
        <v>5</v>
      </c>
      <c r="C2124" t="s">
        <v>64</v>
      </c>
      <c r="D2124" t="s">
        <v>70</v>
      </c>
      <c r="E2124" t="s">
        <v>68</v>
      </c>
      <c r="F2124" s="14">
        <v>1180510</v>
      </c>
      <c r="G2124" s="14">
        <v>1180510</v>
      </c>
      <c r="H2124">
        <f t="shared" si="66"/>
        <v>0</v>
      </c>
      <c r="I2124" s="20">
        <f t="shared" si="67"/>
        <v>46143</v>
      </c>
    </row>
    <row r="2125" spans="1:9" x14ac:dyDescent="0.2">
      <c r="A2125">
        <v>2026</v>
      </c>
      <c r="B2125">
        <v>6</v>
      </c>
      <c r="C2125" t="s">
        <v>55</v>
      </c>
      <c r="D2125" t="s">
        <v>56</v>
      </c>
      <c r="E2125" t="s">
        <v>80</v>
      </c>
      <c r="F2125" s="14">
        <v>115014286</v>
      </c>
      <c r="G2125" s="14">
        <v>115014286</v>
      </c>
      <c r="H2125">
        <f t="shared" si="66"/>
        <v>0</v>
      </c>
      <c r="I2125" s="20">
        <f t="shared" si="67"/>
        <v>46174</v>
      </c>
    </row>
    <row r="2126" spans="1:9" x14ac:dyDescent="0.2">
      <c r="A2126">
        <v>2026</v>
      </c>
      <c r="B2126">
        <v>6</v>
      </c>
      <c r="C2126" t="s">
        <v>55</v>
      </c>
      <c r="D2126" t="s">
        <v>56</v>
      </c>
      <c r="E2126" t="s">
        <v>57</v>
      </c>
      <c r="F2126" s="14">
        <v>8470023</v>
      </c>
      <c r="G2126" s="14">
        <v>8470023</v>
      </c>
      <c r="H2126">
        <f t="shared" si="66"/>
        <v>0</v>
      </c>
      <c r="I2126" s="20">
        <f t="shared" si="67"/>
        <v>46174</v>
      </c>
    </row>
    <row r="2127" spans="1:9" x14ac:dyDescent="0.2">
      <c r="A2127">
        <v>2026</v>
      </c>
      <c r="B2127">
        <v>6</v>
      </c>
      <c r="C2127" t="s">
        <v>64</v>
      </c>
      <c r="D2127" t="s">
        <v>56</v>
      </c>
      <c r="E2127" t="s">
        <v>80</v>
      </c>
      <c r="F2127" s="14">
        <v>4949499</v>
      </c>
      <c r="G2127" s="14">
        <v>4949499</v>
      </c>
      <c r="H2127">
        <f t="shared" si="66"/>
        <v>0</v>
      </c>
      <c r="I2127" s="20">
        <f t="shared" si="67"/>
        <v>46174</v>
      </c>
    </row>
    <row r="2128" spans="1:9" x14ac:dyDescent="0.2">
      <c r="A2128">
        <v>2026</v>
      </c>
      <c r="B2128">
        <v>6</v>
      </c>
      <c r="C2128" t="s">
        <v>55</v>
      </c>
      <c r="D2128" t="s">
        <v>56</v>
      </c>
      <c r="E2128" t="s">
        <v>81</v>
      </c>
      <c r="F2128" s="14">
        <v>85772</v>
      </c>
      <c r="G2128" s="14">
        <v>85772</v>
      </c>
      <c r="H2128">
        <f t="shared" si="66"/>
        <v>0</v>
      </c>
      <c r="I2128" s="20">
        <f t="shared" si="67"/>
        <v>46174</v>
      </c>
    </row>
    <row r="2129" spans="1:9" x14ac:dyDescent="0.2">
      <c r="A2129">
        <v>2026</v>
      </c>
      <c r="B2129">
        <v>6</v>
      </c>
      <c r="C2129" t="s">
        <v>55</v>
      </c>
      <c r="D2129" t="s">
        <v>60</v>
      </c>
      <c r="E2129" t="s">
        <v>63</v>
      </c>
      <c r="F2129" s="14">
        <v>555903762</v>
      </c>
      <c r="G2129" s="14">
        <v>327002161</v>
      </c>
      <c r="H2129">
        <f t="shared" si="66"/>
        <v>0</v>
      </c>
      <c r="I2129" s="20">
        <f t="shared" si="67"/>
        <v>46174</v>
      </c>
    </row>
    <row r="2130" spans="1:9" x14ac:dyDescent="0.2">
      <c r="A2130">
        <v>2026</v>
      </c>
      <c r="B2130">
        <v>6</v>
      </c>
      <c r="C2130" t="s">
        <v>55</v>
      </c>
      <c r="D2130" t="s">
        <v>60</v>
      </c>
      <c r="E2130" t="s">
        <v>61</v>
      </c>
      <c r="F2130" s="14">
        <v>211645649</v>
      </c>
      <c r="G2130" s="14">
        <v>141095146</v>
      </c>
      <c r="H2130">
        <f t="shared" si="66"/>
        <v>0</v>
      </c>
      <c r="I2130" s="20">
        <f t="shared" si="67"/>
        <v>46174</v>
      </c>
    </row>
    <row r="2131" spans="1:9" x14ac:dyDescent="0.2">
      <c r="A2131">
        <v>2026</v>
      </c>
      <c r="B2131">
        <v>6</v>
      </c>
      <c r="C2131" t="s">
        <v>55</v>
      </c>
      <c r="D2131" t="s">
        <v>60</v>
      </c>
      <c r="E2131" t="s">
        <v>65</v>
      </c>
      <c r="F2131" s="14">
        <v>42971779</v>
      </c>
      <c r="G2131" s="14">
        <v>26857358</v>
      </c>
      <c r="H2131">
        <f t="shared" si="66"/>
        <v>1</v>
      </c>
      <c r="I2131" s="20">
        <f t="shared" si="67"/>
        <v>46174</v>
      </c>
    </row>
    <row r="2132" spans="1:9" x14ac:dyDescent="0.2">
      <c r="A2132">
        <v>2026</v>
      </c>
      <c r="B2132">
        <v>6</v>
      </c>
      <c r="C2132" t="s">
        <v>64</v>
      </c>
      <c r="D2132" t="s">
        <v>60</v>
      </c>
      <c r="E2132" t="s">
        <v>63</v>
      </c>
      <c r="F2132" s="14">
        <v>17850377</v>
      </c>
      <c r="G2132" s="14">
        <v>10500222</v>
      </c>
      <c r="H2132">
        <f t="shared" si="66"/>
        <v>0</v>
      </c>
      <c r="I2132" s="20">
        <f t="shared" si="67"/>
        <v>46174</v>
      </c>
    </row>
    <row r="2133" spans="1:9" x14ac:dyDescent="0.2">
      <c r="A2133">
        <v>2026</v>
      </c>
      <c r="B2133">
        <v>6</v>
      </c>
      <c r="C2133" t="s">
        <v>64</v>
      </c>
      <c r="D2133" t="s">
        <v>60</v>
      </c>
      <c r="E2133" t="s">
        <v>61</v>
      </c>
      <c r="F2133" s="14">
        <v>12149283</v>
      </c>
      <c r="G2133" s="14">
        <v>8099521</v>
      </c>
      <c r="H2133">
        <f t="shared" si="66"/>
        <v>0</v>
      </c>
      <c r="I2133" s="20">
        <f t="shared" si="67"/>
        <v>46174</v>
      </c>
    </row>
    <row r="2134" spans="1:9" x14ac:dyDescent="0.2">
      <c r="A2134">
        <v>2026</v>
      </c>
      <c r="B2134">
        <v>6</v>
      </c>
      <c r="C2134" t="s">
        <v>55</v>
      </c>
      <c r="D2134" t="s">
        <v>66</v>
      </c>
      <c r="E2134" t="s">
        <v>63</v>
      </c>
      <c r="F2134" s="14">
        <v>10355935</v>
      </c>
      <c r="G2134" s="14">
        <v>6091727</v>
      </c>
      <c r="H2134">
        <f t="shared" si="66"/>
        <v>0</v>
      </c>
      <c r="I2134" s="20">
        <f t="shared" si="67"/>
        <v>46174</v>
      </c>
    </row>
    <row r="2135" spans="1:9" x14ac:dyDescent="0.2">
      <c r="A2135">
        <v>2026</v>
      </c>
      <c r="B2135">
        <v>6</v>
      </c>
      <c r="C2135" t="s">
        <v>55</v>
      </c>
      <c r="D2135" t="s">
        <v>66</v>
      </c>
      <c r="E2135" t="s">
        <v>75</v>
      </c>
      <c r="F2135" s="14">
        <v>6814897</v>
      </c>
      <c r="G2135" s="14">
        <v>4867782</v>
      </c>
      <c r="H2135">
        <f t="shared" si="66"/>
        <v>0</v>
      </c>
      <c r="I2135" s="20">
        <f t="shared" si="67"/>
        <v>46174</v>
      </c>
    </row>
    <row r="2136" spans="1:9" x14ac:dyDescent="0.2">
      <c r="A2136">
        <v>2026</v>
      </c>
      <c r="B2136">
        <v>6</v>
      </c>
      <c r="C2136" t="s">
        <v>55</v>
      </c>
      <c r="D2136" t="s">
        <v>66</v>
      </c>
      <c r="E2136" t="s">
        <v>67</v>
      </c>
      <c r="F2136" s="14">
        <v>3357310</v>
      </c>
      <c r="G2136" s="14">
        <v>2238188</v>
      </c>
      <c r="H2136">
        <f t="shared" si="66"/>
        <v>0</v>
      </c>
      <c r="I2136" s="20">
        <f t="shared" si="67"/>
        <v>46174</v>
      </c>
    </row>
    <row r="2137" spans="1:9" x14ac:dyDescent="0.2">
      <c r="A2137">
        <v>2026</v>
      </c>
      <c r="B2137">
        <v>6</v>
      </c>
      <c r="C2137" t="s">
        <v>55</v>
      </c>
      <c r="D2137" t="s">
        <v>66</v>
      </c>
      <c r="E2137" t="s">
        <v>68</v>
      </c>
      <c r="F2137" s="14">
        <v>2692767</v>
      </c>
      <c r="G2137" s="14">
        <v>2692767</v>
      </c>
      <c r="H2137">
        <f t="shared" si="66"/>
        <v>0</v>
      </c>
      <c r="I2137" s="20">
        <f t="shared" si="67"/>
        <v>46174</v>
      </c>
    </row>
    <row r="2138" spans="1:9" x14ac:dyDescent="0.2">
      <c r="A2138">
        <v>2026</v>
      </c>
      <c r="B2138">
        <v>6</v>
      </c>
      <c r="C2138" t="s">
        <v>55</v>
      </c>
      <c r="D2138" t="s">
        <v>66</v>
      </c>
      <c r="E2138" t="s">
        <v>69</v>
      </c>
      <c r="F2138" s="14">
        <v>694985</v>
      </c>
      <c r="G2138" s="14">
        <v>434366</v>
      </c>
      <c r="H2138">
        <f t="shared" si="66"/>
        <v>0</v>
      </c>
      <c r="I2138" s="20">
        <f t="shared" si="67"/>
        <v>46174</v>
      </c>
    </row>
    <row r="2139" spans="1:9" x14ac:dyDescent="0.2">
      <c r="A2139">
        <v>2026</v>
      </c>
      <c r="B2139">
        <v>6</v>
      </c>
      <c r="C2139" t="s">
        <v>55</v>
      </c>
      <c r="D2139" t="s">
        <v>66</v>
      </c>
      <c r="E2139" t="s">
        <v>74</v>
      </c>
      <c r="F2139" s="14">
        <v>467392</v>
      </c>
      <c r="G2139" s="14">
        <v>424900</v>
      </c>
      <c r="H2139">
        <f t="shared" si="66"/>
        <v>0</v>
      </c>
      <c r="I2139" s="20">
        <f t="shared" si="67"/>
        <v>46174</v>
      </c>
    </row>
    <row r="2140" spans="1:9" x14ac:dyDescent="0.2">
      <c r="A2140">
        <v>2026</v>
      </c>
      <c r="B2140">
        <v>6</v>
      </c>
      <c r="C2140" t="s">
        <v>55</v>
      </c>
      <c r="D2140" t="s">
        <v>66</v>
      </c>
      <c r="E2140" t="s">
        <v>81</v>
      </c>
      <c r="F2140" s="14">
        <v>107084</v>
      </c>
      <c r="G2140" s="14">
        <v>107084</v>
      </c>
      <c r="H2140">
        <f t="shared" si="66"/>
        <v>0</v>
      </c>
      <c r="I2140" s="20">
        <f t="shared" si="67"/>
        <v>46174</v>
      </c>
    </row>
    <row r="2141" spans="1:9" x14ac:dyDescent="0.2">
      <c r="A2141">
        <v>2026</v>
      </c>
      <c r="B2141">
        <v>6</v>
      </c>
      <c r="C2141" t="s">
        <v>55</v>
      </c>
      <c r="D2141" t="s">
        <v>66</v>
      </c>
      <c r="E2141" t="s">
        <v>80</v>
      </c>
      <c r="F2141" s="14">
        <v>54757</v>
      </c>
      <c r="G2141" s="14">
        <v>54757</v>
      </c>
      <c r="H2141">
        <f t="shared" si="66"/>
        <v>0</v>
      </c>
      <c r="I2141" s="20">
        <f t="shared" si="67"/>
        <v>46174</v>
      </c>
    </row>
    <row r="2142" spans="1:9" x14ac:dyDescent="0.2">
      <c r="A2142">
        <v>2026</v>
      </c>
      <c r="B2142">
        <v>6</v>
      </c>
      <c r="C2142" t="s">
        <v>55</v>
      </c>
      <c r="D2142" t="s">
        <v>70</v>
      </c>
      <c r="E2142" t="s">
        <v>68</v>
      </c>
      <c r="F2142" s="14">
        <v>1283198867</v>
      </c>
      <c r="G2142" s="14">
        <v>1283198867</v>
      </c>
      <c r="H2142">
        <f t="shared" si="66"/>
        <v>0</v>
      </c>
      <c r="I2142" s="20">
        <f t="shared" si="67"/>
        <v>46174</v>
      </c>
    </row>
    <row r="2143" spans="1:9" x14ac:dyDescent="0.2">
      <c r="A2143">
        <v>2026</v>
      </c>
      <c r="B2143">
        <v>6</v>
      </c>
      <c r="C2143" t="s">
        <v>64</v>
      </c>
      <c r="D2143" t="s">
        <v>70</v>
      </c>
      <c r="E2143" t="s">
        <v>68</v>
      </c>
      <c r="F2143" s="14">
        <v>1347038</v>
      </c>
      <c r="G2143" s="14">
        <v>1347038</v>
      </c>
      <c r="H2143">
        <f t="shared" si="66"/>
        <v>0</v>
      </c>
      <c r="I2143" s="20">
        <f t="shared" si="67"/>
        <v>46174</v>
      </c>
    </row>
    <row r="2144" spans="1:9" x14ac:dyDescent="0.2">
      <c r="A2144">
        <v>2026</v>
      </c>
      <c r="B2144">
        <v>7</v>
      </c>
      <c r="C2144" t="s">
        <v>55</v>
      </c>
      <c r="D2144" t="s">
        <v>56</v>
      </c>
      <c r="E2144" t="s">
        <v>57</v>
      </c>
      <c r="F2144" s="14">
        <v>8063621</v>
      </c>
      <c r="G2144" s="14">
        <v>8063621</v>
      </c>
      <c r="H2144">
        <f t="shared" si="66"/>
        <v>0</v>
      </c>
      <c r="I2144" s="20">
        <f t="shared" si="67"/>
        <v>46204</v>
      </c>
    </row>
    <row r="2145" spans="1:9" x14ac:dyDescent="0.2">
      <c r="A2145">
        <v>2026</v>
      </c>
      <c r="B2145">
        <v>7</v>
      </c>
      <c r="C2145" t="s">
        <v>64</v>
      </c>
      <c r="D2145" t="s">
        <v>56</v>
      </c>
      <c r="E2145" t="s">
        <v>80</v>
      </c>
      <c r="F2145" s="14">
        <v>4840071</v>
      </c>
      <c r="G2145" s="14">
        <v>4840071</v>
      </c>
      <c r="H2145">
        <f t="shared" si="66"/>
        <v>0</v>
      </c>
      <c r="I2145" s="20">
        <f t="shared" si="67"/>
        <v>46204</v>
      </c>
    </row>
    <row r="2146" spans="1:9" x14ac:dyDescent="0.2">
      <c r="A2146">
        <v>2026</v>
      </c>
      <c r="B2146">
        <v>7</v>
      </c>
      <c r="C2146" t="s">
        <v>55</v>
      </c>
      <c r="D2146" t="s">
        <v>56</v>
      </c>
      <c r="E2146" t="s">
        <v>80</v>
      </c>
      <c r="F2146" s="14">
        <v>1252976</v>
      </c>
      <c r="G2146" s="14">
        <v>1252976</v>
      </c>
      <c r="H2146">
        <f t="shared" si="66"/>
        <v>0</v>
      </c>
      <c r="I2146" s="20">
        <f t="shared" si="67"/>
        <v>46204</v>
      </c>
    </row>
    <row r="2147" spans="1:9" x14ac:dyDescent="0.2">
      <c r="A2147">
        <v>2026</v>
      </c>
      <c r="B2147">
        <v>7</v>
      </c>
      <c r="C2147" t="s">
        <v>55</v>
      </c>
      <c r="D2147" t="s">
        <v>56</v>
      </c>
      <c r="E2147" t="s">
        <v>81</v>
      </c>
      <c r="F2147" s="14">
        <v>2751</v>
      </c>
      <c r="G2147" s="14">
        <v>2751</v>
      </c>
      <c r="H2147">
        <f t="shared" si="66"/>
        <v>0</v>
      </c>
      <c r="I2147" s="20">
        <f t="shared" si="67"/>
        <v>46204</v>
      </c>
    </row>
    <row r="2148" spans="1:9" x14ac:dyDescent="0.2">
      <c r="A2148">
        <v>2026</v>
      </c>
      <c r="B2148">
        <v>7</v>
      </c>
      <c r="C2148" t="s">
        <v>55</v>
      </c>
      <c r="D2148" t="s">
        <v>60</v>
      </c>
      <c r="E2148" t="s">
        <v>63</v>
      </c>
      <c r="F2148" s="14">
        <v>532211073</v>
      </c>
      <c r="G2148" s="14">
        <v>313065280</v>
      </c>
      <c r="H2148">
        <f t="shared" si="66"/>
        <v>0</v>
      </c>
      <c r="I2148" s="20">
        <f t="shared" si="67"/>
        <v>46204</v>
      </c>
    </row>
    <row r="2149" spans="1:9" x14ac:dyDescent="0.2">
      <c r="A2149">
        <v>2026</v>
      </c>
      <c r="B2149">
        <v>7</v>
      </c>
      <c r="C2149" t="s">
        <v>55</v>
      </c>
      <c r="D2149" t="s">
        <v>60</v>
      </c>
      <c r="E2149" t="s">
        <v>61</v>
      </c>
      <c r="F2149" s="14">
        <v>203233234</v>
      </c>
      <c r="G2149" s="14">
        <v>135486888</v>
      </c>
      <c r="H2149">
        <f t="shared" si="66"/>
        <v>0</v>
      </c>
      <c r="I2149" s="20">
        <f t="shared" si="67"/>
        <v>46204</v>
      </c>
    </row>
    <row r="2150" spans="1:9" x14ac:dyDescent="0.2">
      <c r="A2150">
        <v>2026</v>
      </c>
      <c r="B2150">
        <v>7</v>
      </c>
      <c r="C2150" t="s">
        <v>55</v>
      </c>
      <c r="D2150" t="s">
        <v>60</v>
      </c>
      <c r="E2150" t="s">
        <v>65</v>
      </c>
      <c r="F2150" s="14">
        <v>47583212</v>
      </c>
      <c r="G2150" s="14">
        <v>29739505</v>
      </c>
      <c r="H2150">
        <f t="shared" si="66"/>
        <v>1</v>
      </c>
      <c r="I2150" s="20">
        <f t="shared" si="67"/>
        <v>46204</v>
      </c>
    </row>
    <row r="2151" spans="1:9" x14ac:dyDescent="0.2">
      <c r="A2151">
        <v>2026</v>
      </c>
      <c r="B2151">
        <v>7</v>
      </c>
      <c r="C2151" t="s">
        <v>64</v>
      </c>
      <c r="D2151" t="s">
        <v>60</v>
      </c>
      <c r="E2151" t="s">
        <v>61</v>
      </c>
      <c r="F2151" s="14">
        <v>12476892</v>
      </c>
      <c r="G2151" s="14">
        <v>8317927</v>
      </c>
      <c r="H2151">
        <f t="shared" si="66"/>
        <v>0</v>
      </c>
      <c r="I2151" s="20">
        <f t="shared" si="67"/>
        <v>46204</v>
      </c>
    </row>
    <row r="2152" spans="1:9" x14ac:dyDescent="0.2">
      <c r="A2152">
        <v>2026</v>
      </c>
      <c r="B2152">
        <v>7</v>
      </c>
      <c r="C2152" t="s">
        <v>55</v>
      </c>
      <c r="D2152" t="s">
        <v>66</v>
      </c>
      <c r="E2152" t="s">
        <v>63</v>
      </c>
      <c r="F2152" s="14">
        <v>10078761</v>
      </c>
      <c r="G2152" s="14">
        <v>5928682</v>
      </c>
      <c r="H2152">
        <f t="shared" si="66"/>
        <v>0</v>
      </c>
      <c r="I2152" s="20">
        <f t="shared" si="67"/>
        <v>46204</v>
      </c>
    </row>
    <row r="2153" spans="1:9" x14ac:dyDescent="0.2">
      <c r="A2153">
        <v>2026</v>
      </c>
      <c r="B2153">
        <v>7</v>
      </c>
      <c r="C2153" t="s">
        <v>55</v>
      </c>
      <c r="D2153" t="s">
        <v>66</v>
      </c>
      <c r="E2153" t="s">
        <v>75</v>
      </c>
      <c r="F2153" s="14">
        <v>5774990</v>
      </c>
      <c r="G2153" s="14">
        <v>4124992</v>
      </c>
      <c r="H2153">
        <f t="shared" si="66"/>
        <v>0</v>
      </c>
      <c r="I2153" s="20">
        <f t="shared" si="67"/>
        <v>46204</v>
      </c>
    </row>
    <row r="2154" spans="1:9" x14ac:dyDescent="0.2">
      <c r="A2154">
        <v>2026</v>
      </c>
      <c r="B2154">
        <v>7</v>
      </c>
      <c r="C2154" t="s">
        <v>55</v>
      </c>
      <c r="D2154" t="s">
        <v>66</v>
      </c>
      <c r="E2154" t="s">
        <v>67</v>
      </c>
      <c r="F2154" s="14">
        <v>3906644</v>
      </c>
      <c r="G2154" s="14">
        <v>2604399</v>
      </c>
      <c r="H2154">
        <f t="shared" si="66"/>
        <v>0</v>
      </c>
      <c r="I2154" s="20">
        <f t="shared" si="67"/>
        <v>46204</v>
      </c>
    </row>
    <row r="2155" spans="1:9" x14ac:dyDescent="0.2">
      <c r="A2155">
        <v>2026</v>
      </c>
      <c r="B2155">
        <v>7</v>
      </c>
      <c r="C2155" t="s">
        <v>55</v>
      </c>
      <c r="D2155" t="s">
        <v>66</v>
      </c>
      <c r="E2155" t="s">
        <v>68</v>
      </c>
      <c r="F2155" s="14">
        <v>2329833</v>
      </c>
      <c r="G2155" s="14">
        <v>2329833</v>
      </c>
      <c r="H2155">
        <f t="shared" si="66"/>
        <v>0</v>
      </c>
      <c r="I2155" s="20">
        <f t="shared" si="67"/>
        <v>46204</v>
      </c>
    </row>
    <row r="2156" spans="1:9" x14ac:dyDescent="0.2">
      <c r="A2156">
        <v>2026</v>
      </c>
      <c r="B2156">
        <v>7</v>
      </c>
      <c r="C2156" t="s">
        <v>55</v>
      </c>
      <c r="D2156" t="s">
        <v>66</v>
      </c>
      <c r="E2156" t="s">
        <v>74</v>
      </c>
      <c r="F2156" s="14">
        <v>560667</v>
      </c>
      <c r="G2156" s="14">
        <v>509693</v>
      </c>
      <c r="H2156">
        <f t="shared" si="66"/>
        <v>0</v>
      </c>
      <c r="I2156" s="20">
        <f t="shared" si="67"/>
        <v>46204</v>
      </c>
    </row>
    <row r="2157" spans="1:9" x14ac:dyDescent="0.2">
      <c r="A2157">
        <v>2026</v>
      </c>
      <c r="B2157">
        <v>7</v>
      </c>
      <c r="C2157" t="s">
        <v>55</v>
      </c>
      <c r="D2157" t="s">
        <v>66</v>
      </c>
      <c r="E2157" t="s">
        <v>69</v>
      </c>
      <c r="F2157" s="14">
        <v>226147</v>
      </c>
      <c r="G2157" s="14">
        <v>141342</v>
      </c>
      <c r="H2157">
        <f t="shared" si="66"/>
        <v>0</v>
      </c>
      <c r="I2157" s="20">
        <f t="shared" si="67"/>
        <v>46204</v>
      </c>
    </row>
    <row r="2158" spans="1:9" x14ac:dyDescent="0.2">
      <c r="A2158">
        <v>2026</v>
      </c>
      <c r="B2158">
        <v>7</v>
      </c>
      <c r="C2158" t="s">
        <v>55</v>
      </c>
      <c r="D2158" t="s">
        <v>66</v>
      </c>
      <c r="E2158" t="s">
        <v>81</v>
      </c>
      <c r="F2158" s="14">
        <v>33865</v>
      </c>
      <c r="G2158" s="14">
        <v>33865</v>
      </c>
      <c r="H2158">
        <f t="shared" si="66"/>
        <v>0</v>
      </c>
      <c r="I2158" s="20">
        <f t="shared" si="67"/>
        <v>46204</v>
      </c>
    </row>
    <row r="2159" spans="1:9" x14ac:dyDescent="0.2">
      <c r="A2159">
        <v>2026</v>
      </c>
      <c r="B2159">
        <v>7</v>
      </c>
      <c r="C2159" t="s">
        <v>55</v>
      </c>
      <c r="D2159" t="s">
        <v>70</v>
      </c>
      <c r="E2159" t="s">
        <v>68</v>
      </c>
      <c r="F2159" s="14">
        <v>1287558341</v>
      </c>
      <c r="G2159" s="14">
        <v>1287558341</v>
      </c>
      <c r="H2159">
        <f t="shared" si="66"/>
        <v>0</v>
      </c>
      <c r="I2159" s="20">
        <f t="shared" si="67"/>
        <v>46204</v>
      </c>
    </row>
    <row r="2160" spans="1:9" x14ac:dyDescent="0.2">
      <c r="A2160">
        <v>2026</v>
      </c>
      <c r="B2160">
        <v>7</v>
      </c>
      <c r="C2160" t="s">
        <v>64</v>
      </c>
      <c r="D2160" t="s">
        <v>70</v>
      </c>
      <c r="E2160" t="s">
        <v>68</v>
      </c>
      <c r="F2160" s="14">
        <v>1514114</v>
      </c>
      <c r="G2160" s="14">
        <v>1514114</v>
      </c>
      <c r="H2160">
        <f t="shared" si="66"/>
        <v>0</v>
      </c>
      <c r="I2160" s="20">
        <f t="shared" si="67"/>
        <v>46204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2"/>
  <sheetViews>
    <sheetView workbookViewId="0"/>
  </sheetViews>
  <sheetFormatPr baseColWidth="10" defaultRowHeight="16" x14ac:dyDescent="0.2"/>
  <cols>
    <col min="1" max="1" width="18.6640625" customWidth="1"/>
    <col min="2" max="2" width="16" customWidth="1"/>
    <col min="3" max="3" width="17" customWidth="1"/>
    <col min="4" max="4" width="10.5" customWidth="1"/>
    <col min="8" max="8" width="18.6640625" customWidth="1"/>
    <col min="9" max="9" width="16.5" customWidth="1"/>
    <col min="10" max="10" width="17" customWidth="1"/>
    <col min="11" max="11" width="10.5" customWidth="1"/>
  </cols>
  <sheetData>
    <row r="1" spans="1:12" x14ac:dyDescent="0.2">
      <c r="A1" t="s">
        <v>53</v>
      </c>
      <c r="B1" s="18"/>
      <c r="H1" t="s">
        <v>53</v>
      </c>
      <c r="I1" s="18"/>
    </row>
    <row r="2" spans="1:12" x14ac:dyDescent="0.2">
      <c r="H2" t="s">
        <v>47</v>
      </c>
    </row>
    <row r="3" spans="1:12" x14ac:dyDescent="0.2">
      <c r="B3" t="s">
        <v>55</v>
      </c>
      <c r="C3" t="s">
        <v>62</v>
      </c>
      <c r="D3" t="s">
        <v>64</v>
      </c>
      <c r="E3" t="s">
        <v>135</v>
      </c>
    </row>
    <row r="4" spans="1:12" x14ac:dyDescent="0.2">
      <c r="A4" t="s">
        <v>136</v>
      </c>
      <c r="E4" t="s">
        <v>135</v>
      </c>
      <c r="I4" t="s">
        <v>55</v>
      </c>
      <c r="J4" t="s">
        <v>62</v>
      </c>
      <c r="K4" t="s">
        <v>64</v>
      </c>
      <c r="L4" t="s">
        <v>135</v>
      </c>
    </row>
    <row r="5" spans="1:12" x14ac:dyDescent="0.2">
      <c r="A5" s="18" t="s">
        <v>137</v>
      </c>
      <c r="B5">
        <v>17441884577</v>
      </c>
      <c r="C5">
        <v>309846637</v>
      </c>
      <c r="D5">
        <v>305428514</v>
      </c>
      <c r="E5">
        <v>18057159728</v>
      </c>
      <c r="H5" t="s">
        <v>136</v>
      </c>
      <c r="L5" t="s">
        <v>135</v>
      </c>
    </row>
    <row r="6" spans="1:12" x14ac:dyDescent="0.2">
      <c r="A6" s="18" t="s">
        <v>138</v>
      </c>
      <c r="B6">
        <v>17354299933</v>
      </c>
      <c r="C6">
        <v>420373097</v>
      </c>
      <c r="D6">
        <v>434991489</v>
      </c>
      <c r="E6">
        <v>18209664519</v>
      </c>
      <c r="H6" s="18"/>
      <c r="I6">
        <v>158951615015</v>
      </c>
      <c r="J6">
        <v>3050392200</v>
      </c>
      <c r="K6">
        <v>3305813393</v>
      </c>
      <c r="L6">
        <v>165307820608</v>
      </c>
    </row>
    <row r="7" spans="1:12" x14ac:dyDescent="0.2">
      <c r="A7" s="18" t="s">
        <v>139</v>
      </c>
      <c r="B7">
        <v>15730996387</v>
      </c>
      <c r="C7">
        <v>435479892</v>
      </c>
      <c r="D7">
        <v>441621445</v>
      </c>
      <c r="E7">
        <v>16608097724</v>
      </c>
      <c r="H7" s="18"/>
      <c r="I7">
        <v>158951615015</v>
      </c>
      <c r="J7">
        <v>3050392200</v>
      </c>
      <c r="K7">
        <v>3305813393</v>
      </c>
      <c r="L7">
        <v>165307820608</v>
      </c>
    </row>
    <row r="8" spans="1:12" x14ac:dyDescent="0.2">
      <c r="A8" s="18" t="s">
        <v>140</v>
      </c>
      <c r="B8">
        <v>17255750754</v>
      </c>
      <c r="C8">
        <v>468147127</v>
      </c>
      <c r="D8">
        <v>320621854</v>
      </c>
      <c r="E8">
        <v>18044519735</v>
      </c>
      <c r="H8" s="18"/>
      <c r="I8">
        <v>158951615015</v>
      </c>
      <c r="J8">
        <v>3050392200</v>
      </c>
      <c r="K8">
        <v>3305813393</v>
      </c>
      <c r="L8">
        <v>165307820608</v>
      </c>
    </row>
    <row r="9" spans="1:12" x14ac:dyDescent="0.2">
      <c r="A9" s="18" t="s">
        <v>141</v>
      </c>
      <c r="B9">
        <v>18225123162</v>
      </c>
      <c r="C9">
        <v>454349188</v>
      </c>
      <c r="D9">
        <v>372340413</v>
      </c>
      <c r="E9">
        <v>19051812763</v>
      </c>
      <c r="H9" s="18" t="s">
        <v>142</v>
      </c>
      <c r="I9">
        <v>1384988329</v>
      </c>
      <c r="J9">
        <v>31803799</v>
      </c>
      <c r="K9">
        <v>11758628</v>
      </c>
      <c r="L9">
        <v>1428550756</v>
      </c>
    </row>
    <row r="10" spans="1:12" x14ac:dyDescent="0.2">
      <c r="A10" s="18" t="s">
        <v>143</v>
      </c>
      <c r="B10">
        <v>19634207642</v>
      </c>
      <c r="C10">
        <v>493035918</v>
      </c>
      <c r="D10">
        <v>590744405</v>
      </c>
      <c r="E10">
        <v>20717987965</v>
      </c>
      <c r="H10" s="18" t="s">
        <v>144</v>
      </c>
      <c r="I10">
        <v>1257524467</v>
      </c>
      <c r="J10">
        <v>28296030</v>
      </c>
      <c r="K10">
        <v>15457621</v>
      </c>
      <c r="L10">
        <v>1301278118</v>
      </c>
    </row>
    <row r="11" spans="1:12" x14ac:dyDescent="0.2">
      <c r="A11" s="18" t="s">
        <v>145</v>
      </c>
      <c r="B11">
        <v>20790006780</v>
      </c>
      <c r="C11">
        <v>387132522</v>
      </c>
      <c r="D11">
        <v>584843349</v>
      </c>
      <c r="E11">
        <v>21761982651</v>
      </c>
      <c r="H11" s="18" t="s">
        <v>146</v>
      </c>
      <c r="I11">
        <v>1412228233</v>
      </c>
      <c r="J11">
        <v>28445622</v>
      </c>
      <c r="K11">
        <v>21540265</v>
      </c>
      <c r="L11">
        <v>1462214120</v>
      </c>
    </row>
    <row r="12" spans="1:12" x14ac:dyDescent="0.2">
      <c r="A12" s="18" t="s">
        <v>147</v>
      </c>
      <c r="B12">
        <v>20272607349</v>
      </c>
      <c r="C12">
        <v>63656006</v>
      </c>
      <c r="D12">
        <v>180742650</v>
      </c>
      <c r="E12">
        <v>20517006005</v>
      </c>
      <c r="H12" s="18" t="s">
        <v>148</v>
      </c>
      <c r="I12">
        <v>1413724796</v>
      </c>
      <c r="J12">
        <v>31753453</v>
      </c>
      <c r="K12">
        <v>19960865</v>
      </c>
      <c r="L12">
        <v>1465439114</v>
      </c>
    </row>
    <row r="13" spans="1:12" x14ac:dyDescent="0.2">
      <c r="A13" s="18" t="s">
        <v>149</v>
      </c>
      <c r="B13">
        <v>12246738431</v>
      </c>
      <c r="C13">
        <v>18371813</v>
      </c>
      <c r="D13">
        <v>74479274</v>
      </c>
      <c r="E13">
        <v>12339589518</v>
      </c>
      <c r="H13" s="18" t="s">
        <v>150</v>
      </c>
      <c r="I13">
        <v>1495406988</v>
      </c>
      <c r="J13">
        <v>31714034</v>
      </c>
      <c r="K13">
        <v>20536351</v>
      </c>
      <c r="L13">
        <v>1547657373</v>
      </c>
    </row>
    <row r="14" spans="1:12" x14ac:dyDescent="0.2">
      <c r="A14" s="18" t="s">
        <v>135</v>
      </c>
      <c r="B14">
        <v>158951615015</v>
      </c>
      <c r="C14">
        <v>3050392200</v>
      </c>
      <c r="D14">
        <v>3305813393</v>
      </c>
      <c r="E14">
        <v>165307820608</v>
      </c>
      <c r="H14" s="18" t="s">
        <v>151</v>
      </c>
      <c r="I14">
        <v>1445468145</v>
      </c>
      <c r="J14">
        <v>28811262</v>
      </c>
      <c r="K14">
        <v>16659028</v>
      </c>
      <c r="L14">
        <v>1490938435</v>
      </c>
    </row>
    <row r="15" spans="1:12" x14ac:dyDescent="0.2">
      <c r="H15" s="18" t="s">
        <v>152</v>
      </c>
      <c r="I15">
        <v>1554106812</v>
      </c>
      <c r="J15">
        <v>29674375</v>
      </c>
      <c r="K15">
        <v>9461417</v>
      </c>
      <c r="L15">
        <v>1593242604</v>
      </c>
    </row>
    <row r="16" spans="1:12" x14ac:dyDescent="0.2">
      <c r="H16" t="s">
        <v>153</v>
      </c>
      <c r="I16">
        <v>1568635112</v>
      </c>
      <c r="J16">
        <v>29795498</v>
      </c>
      <c r="K16">
        <v>37566921</v>
      </c>
      <c r="L16">
        <v>1635997531</v>
      </c>
    </row>
    <row r="17" spans="8:12" x14ac:dyDescent="0.2">
      <c r="H17" t="s">
        <v>154</v>
      </c>
      <c r="I17">
        <v>1426147420</v>
      </c>
      <c r="J17">
        <v>22397593</v>
      </c>
      <c r="K17">
        <v>20031105</v>
      </c>
      <c r="L17">
        <v>1468576118</v>
      </c>
    </row>
    <row r="18" spans="8:12" x14ac:dyDescent="0.2">
      <c r="H18" t="s">
        <v>155</v>
      </c>
      <c r="I18">
        <v>1509655932</v>
      </c>
      <c r="J18">
        <v>0</v>
      </c>
      <c r="K18">
        <v>44305644</v>
      </c>
      <c r="L18">
        <v>1553961576</v>
      </c>
    </row>
    <row r="19" spans="8:12" x14ac:dyDescent="0.2">
      <c r="H19" t="s">
        <v>156</v>
      </c>
      <c r="I19">
        <v>1452005038</v>
      </c>
      <c r="J19">
        <v>11371102</v>
      </c>
      <c r="K19">
        <v>28200556</v>
      </c>
      <c r="L19">
        <v>1491576696</v>
      </c>
    </row>
    <row r="20" spans="8:12" x14ac:dyDescent="0.2">
      <c r="H20" t="s">
        <v>157</v>
      </c>
      <c r="I20">
        <v>1521993305</v>
      </c>
      <c r="J20">
        <v>35783869</v>
      </c>
      <c r="K20">
        <v>59950113</v>
      </c>
      <c r="L20">
        <v>1617727287</v>
      </c>
    </row>
    <row r="21" spans="8:12" x14ac:dyDescent="0.2">
      <c r="H21" t="s">
        <v>158</v>
      </c>
      <c r="I21">
        <v>1339300927</v>
      </c>
      <c r="J21">
        <v>27498052</v>
      </c>
      <c r="K21">
        <v>13000599</v>
      </c>
      <c r="L21">
        <v>1379799578</v>
      </c>
    </row>
    <row r="22" spans="8:12" x14ac:dyDescent="0.2">
      <c r="H22" t="s">
        <v>159</v>
      </c>
      <c r="I22">
        <v>1323635451</v>
      </c>
      <c r="J22">
        <v>33386661</v>
      </c>
      <c r="K22">
        <v>15164025</v>
      </c>
      <c r="L22">
        <v>1372186137</v>
      </c>
    </row>
    <row r="23" spans="8:12" x14ac:dyDescent="0.2">
      <c r="H23" t="s">
        <v>160</v>
      </c>
      <c r="I23">
        <v>1398203645</v>
      </c>
      <c r="J23">
        <v>32948386</v>
      </c>
      <c r="K23">
        <v>26904896</v>
      </c>
      <c r="L23">
        <v>1458056927</v>
      </c>
    </row>
    <row r="24" spans="8:12" x14ac:dyDescent="0.2">
      <c r="H24" t="s">
        <v>161</v>
      </c>
      <c r="I24">
        <v>1471829620</v>
      </c>
      <c r="J24">
        <v>35712304</v>
      </c>
      <c r="K24">
        <v>39118408</v>
      </c>
      <c r="L24">
        <v>1546660332</v>
      </c>
    </row>
    <row r="25" spans="8:12" x14ac:dyDescent="0.2">
      <c r="H25" t="s">
        <v>162</v>
      </c>
      <c r="I25">
        <v>1514860264</v>
      </c>
      <c r="J25">
        <v>36623654</v>
      </c>
      <c r="K25">
        <v>19814613</v>
      </c>
      <c r="L25">
        <v>1571298531</v>
      </c>
    </row>
    <row r="26" spans="8:12" x14ac:dyDescent="0.2">
      <c r="H26" t="s">
        <v>163</v>
      </c>
      <c r="I26">
        <v>1455128720</v>
      </c>
      <c r="J26">
        <v>35745741</v>
      </c>
      <c r="K26">
        <v>48361330</v>
      </c>
      <c r="L26">
        <v>1539235791</v>
      </c>
    </row>
    <row r="27" spans="8:12" x14ac:dyDescent="0.2">
      <c r="H27" t="s">
        <v>164</v>
      </c>
      <c r="I27">
        <v>1568537514</v>
      </c>
      <c r="J27">
        <v>36893681</v>
      </c>
      <c r="K27">
        <v>44024109</v>
      </c>
      <c r="L27">
        <v>1649455304</v>
      </c>
    </row>
    <row r="28" spans="8:12" x14ac:dyDescent="0.2">
      <c r="H28" t="s">
        <v>165</v>
      </c>
      <c r="I28">
        <v>1465466180</v>
      </c>
      <c r="J28">
        <v>32216228</v>
      </c>
      <c r="K28">
        <v>27009443</v>
      </c>
      <c r="L28">
        <v>1524691851</v>
      </c>
    </row>
    <row r="29" spans="8:12" x14ac:dyDescent="0.2">
      <c r="H29" t="s">
        <v>166</v>
      </c>
      <c r="I29">
        <v>1407419548</v>
      </c>
      <c r="J29">
        <v>27898130</v>
      </c>
      <c r="K29">
        <v>47828038</v>
      </c>
      <c r="L29">
        <v>1483145716</v>
      </c>
    </row>
    <row r="30" spans="8:12" x14ac:dyDescent="0.2">
      <c r="H30" t="s">
        <v>167</v>
      </c>
      <c r="I30">
        <v>1467845003</v>
      </c>
      <c r="J30">
        <v>43803568</v>
      </c>
      <c r="K30">
        <v>72245772</v>
      </c>
      <c r="L30">
        <v>1583894343</v>
      </c>
    </row>
    <row r="31" spans="8:12" x14ac:dyDescent="0.2">
      <c r="H31" t="s">
        <v>168</v>
      </c>
      <c r="I31">
        <v>1390480110</v>
      </c>
      <c r="J31">
        <v>37253948</v>
      </c>
      <c r="K31">
        <v>28884584</v>
      </c>
      <c r="L31">
        <v>1456618642</v>
      </c>
    </row>
    <row r="32" spans="8:12" x14ac:dyDescent="0.2">
      <c r="H32" t="s">
        <v>169</v>
      </c>
      <c r="I32">
        <v>1551592951</v>
      </c>
      <c r="J32">
        <v>40392744</v>
      </c>
      <c r="K32">
        <v>52635672</v>
      </c>
      <c r="L32">
        <v>1644621367</v>
      </c>
    </row>
    <row r="33" spans="8:12" x14ac:dyDescent="0.2">
      <c r="H33" t="s">
        <v>170</v>
      </c>
      <c r="I33">
        <v>1403425927</v>
      </c>
      <c r="J33">
        <v>29777983</v>
      </c>
      <c r="K33">
        <v>22341167</v>
      </c>
      <c r="L33">
        <v>1455545077</v>
      </c>
    </row>
    <row r="34" spans="8:12" x14ac:dyDescent="0.2">
      <c r="H34" t="s">
        <v>171</v>
      </c>
      <c r="I34">
        <v>1345260609</v>
      </c>
      <c r="J34">
        <v>40666518</v>
      </c>
      <c r="K34">
        <v>27795087</v>
      </c>
      <c r="L34">
        <v>1413722214</v>
      </c>
    </row>
    <row r="35" spans="8:12" x14ac:dyDescent="0.2">
      <c r="H35" t="s">
        <v>172</v>
      </c>
      <c r="I35">
        <v>1344854360</v>
      </c>
      <c r="J35">
        <v>43695657</v>
      </c>
      <c r="K35">
        <v>46468401</v>
      </c>
      <c r="L35">
        <v>1435018418</v>
      </c>
    </row>
    <row r="36" spans="8:12" x14ac:dyDescent="0.2">
      <c r="H36" t="s">
        <v>173</v>
      </c>
      <c r="I36">
        <v>859122601</v>
      </c>
      <c r="J36">
        <v>36339142</v>
      </c>
      <c r="K36">
        <v>22167875</v>
      </c>
      <c r="L36">
        <v>917629618</v>
      </c>
    </row>
    <row r="37" spans="8:12" x14ac:dyDescent="0.2">
      <c r="H37" t="s">
        <v>174</v>
      </c>
      <c r="I37">
        <v>1064562645</v>
      </c>
      <c r="J37">
        <v>35796446</v>
      </c>
      <c r="K37">
        <v>22452982</v>
      </c>
      <c r="L37">
        <v>1122812073</v>
      </c>
    </row>
    <row r="38" spans="8:12" x14ac:dyDescent="0.2">
      <c r="H38" t="s">
        <v>175</v>
      </c>
      <c r="I38">
        <v>1327963109</v>
      </c>
      <c r="J38">
        <v>21827208</v>
      </c>
      <c r="K38">
        <v>20579421</v>
      </c>
      <c r="L38">
        <v>1370369738</v>
      </c>
    </row>
    <row r="39" spans="8:12" x14ac:dyDescent="0.2">
      <c r="H39" t="s">
        <v>176</v>
      </c>
      <c r="I39">
        <v>1422731816</v>
      </c>
      <c r="J39">
        <v>21925486</v>
      </c>
      <c r="K39">
        <v>45862833</v>
      </c>
      <c r="L39">
        <v>1490520135</v>
      </c>
    </row>
    <row r="40" spans="8:12" x14ac:dyDescent="0.2">
      <c r="H40" t="s">
        <v>177</v>
      </c>
      <c r="I40">
        <v>1384251132</v>
      </c>
      <c r="J40">
        <v>24200463</v>
      </c>
      <c r="K40">
        <v>48117362</v>
      </c>
      <c r="L40">
        <v>1456568957</v>
      </c>
    </row>
    <row r="41" spans="8:12" x14ac:dyDescent="0.2">
      <c r="H41" t="s">
        <v>178</v>
      </c>
      <c r="I41">
        <v>1380091130</v>
      </c>
      <c r="J41">
        <v>55120083</v>
      </c>
      <c r="K41">
        <v>45403119</v>
      </c>
      <c r="L41">
        <v>1480614332</v>
      </c>
    </row>
    <row r="42" spans="8:12" x14ac:dyDescent="0.2">
      <c r="H42" t="s">
        <v>179</v>
      </c>
      <c r="I42">
        <v>1357739702</v>
      </c>
      <c r="J42">
        <v>38235426</v>
      </c>
      <c r="K42">
        <v>36186470</v>
      </c>
      <c r="L42">
        <v>1432161598</v>
      </c>
    </row>
    <row r="43" spans="8:12" x14ac:dyDescent="0.2">
      <c r="H43" t="s">
        <v>180</v>
      </c>
      <c r="I43">
        <v>1376448490</v>
      </c>
      <c r="J43">
        <v>44453798</v>
      </c>
      <c r="K43">
        <v>47535447</v>
      </c>
      <c r="L43">
        <v>1468437735</v>
      </c>
    </row>
    <row r="44" spans="8:12" x14ac:dyDescent="0.2">
      <c r="H44" t="s">
        <v>181</v>
      </c>
      <c r="I44">
        <v>1464544866</v>
      </c>
      <c r="J44">
        <v>43441682</v>
      </c>
      <c r="K44">
        <v>56711281</v>
      </c>
      <c r="L44">
        <v>1564697829</v>
      </c>
    </row>
    <row r="45" spans="8:12" x14ac:dyDescent="0.2">
      <c r="H45" t="s">
        <v>182</v>
      </c>
      <c r="I45">
        <v>1240240419</v>
      </c>
      <c r="J45">
        <v>33116197</v>
      </c>
      <c r="K45">
        <v>12404945</v>
      </c>
      <c r="L45">
        <v>1285761561</v>
      </c>
    </row>
    <row r="46" spans="8:12" x14ac:dyDescent="0.2">
      <c r="H46" t="s">
        <v>183</v>
      </c>
      <c r="I46">
        <v>1093369209</v>
      </c>
      <c r="J46">
        <v>37347052</v>
      </c>
      <c r="K46">
        <v>11503408</v>
      </c>
      <c r="L46">
        <v>1142219669</v>
      </c>
    </row>
    <row r="47" spans="8:12" x14ac:dyDescent="0.2">
      <c r="H47" t="s">
        <v>184</v>
      </c>
      <c r="I47">
        <v>1423917758</v>
      </c>
      <c r="J47">
        <v>46570075</v>
      </c>
      <c r="K47">
        <v>19000739</v>
      </c>
      <c r="L47">
        <v>1489488572</v>
      </c>
    </row>
    <row r="48" spans="8:12" x14ac:dyDescent="0.2">
      <c r="H48" t="s">
        <v>185</v>
      </c>
      <c r="I48">
        <v>1360928886</v>
      </c>
      <c r="J48">
        <v>45183934</v>
      </c>
      <c r="K48">
        <v>21535621</v>
      </c>
      <c r="L48">
        <v>1427648441</v>
      </c>
    </row>
    <row r="49" spans="8:12" x14ac:dyDescent="0.2">
      <c r="H49" t="s">
        <v>186</v>
      </c>
      <c r="I49">
        <v>1505490497</v>
      </c>
      <c r="J49">
        <v>38273455</v>
      </c>
      <c r="K49">
        <v>17504284</v>
      </c>
      <c r="L49">
        <v>1561268236</v>
      </c>
    </row>
    <row r="50" spans="8:12" x14ac:dyDescent="0.2">
      <c r="H50" t="s">
        <v>187</v>
      </c>
      <c r="I50">
        <v>1528239542</v>
      </c>
      <c r="J50">
        <v>44681302</v>
      </c>
      <c r="K50">
        <v>34848598</v>
      </c>
      <c r="L50">
        <v>1607769442</v>
      </c>
    </row>
    <row r="51" spans="8:12" x14ac:dyDescent="0.2">
      <c r="H51" t="s">
        <v>188</v>
      </c>
      <c r="I51">
        <v>1537729837</v>
      </c>
      <c r="J51">
        <v>2922300</v>
      </c>
      <c r="K51">
        <v>29950363</v>
      </c>
      <c r="L51">
        <v>1570602500</v>
      </c>
    </row>
    <row r="52" spans="8:12" x14ac:dyDescent="0.2">
      <c r="H52" t="s">
        <v>189</v>
      </c>
      <c r="I52">
        <v>1498028822</v>
      </c>
      <c r="J52">
        <v>29394277</v>
      </c>
      <c r="K52">
        <v>29854505</v>
      </c>
      <c r="L52">
        <v>1557277604</v>
      </c>
    </row>
    <row r="53" spans="8:12" x14ac:dyDescent="0.2">
      <c r="H53" t="s">
        <v>190</v>
      </c>
      <c r="I53">
        <v>1395820886</v>
      </c>
      <c r="J53">
        <v>49929335</v>
      </c>
      <c r="K53">
        <v>26767000</v>
      </c>
      <c r="L53">
        <v>1472517221</v>
      </c>
    </row>
    <row r="54" spans="8:12" x14ac:dyDescent="0.2">
      <c r="H54" t="s">
        <v>191</v>
      </c>
      <c r="I54">
        <v>1453563064</v>
      </c>
      <c r="J54">
        <v>53042142</v>
      </c>
      <c r="K54">
        <v>32898587</v>
      </c>
      <c r="L54">
        <v>1539503793</v>
      </c>
    </row>
    <row r="55" spans="8:12" x14ac:dyDescent="0.2">
      <c r="H55" t="s">
        <v>192</v>
      </c>
      <c r="I55">
        <v>1539243359</v>
      </c>
      <c r="J55">
        <v>38155377</v>
      </c>
      <c r="K55">
        <v>25710564</v>
      </c>
      <c r="L55">
        <v>1603109300</v>
      </c>
    </row>
    <row r="56" spans="8:12" x14ac:dyDescent="0.2">
      <c r="H56" t="s">
        <v>193</v>
      </c>
      <c r="I56">
        <v>1679178475</v>
      </c>
      <c r="J56">
        <v>49531681</v>
      </c>
      <c r="K56">
        <v>58643240</v>
      </c>
      <c r="L56">
        <v>1787353396</v>
      </c>
    </row>
    <row r="57" spans="8:12" x14ac:dyDescent="0.2">
      <c r="H57" t="s">
        <v>194</v>
      </c>
      <c r="I57">
        <v>1392413601</v>
      </c>
      <c r="J57">
        <v>38026128</v>
      </c>
      <c r="K57">
        <v>13774219</v>
      </c>
      <c r="L57">
        <v>1444213948</v>
      </c>
    </row>
    <row r="58" spans="8:12" x14ac:dyDescent="0.2">
      <c r="H58" t="s">
        <v>195</v>
      </c>
      <c r="I58">
        <v>1331718116</v>
      </c>
      <c r="J58">
        <v>35583241</v>
      </c>
      <c r="K58">
        <v>21471114</v>
      </c>
      <c r="L58">
        <v>1388772471</v>
      </c>
    </row>
    <row r="59" spans="8:12" x14ac:dyDescent="0.2">
      <c r="H59" t="s">
        <v>196</v>
      </c>
      <c r="I59">
        <v>1557191396</v>
      </c>
      <c r="J59">
        <v>48131488</v>
      </c>
      <c r="K59">
        <v>26387490</v>
      </c>
      <c r="L59">
        <v>1631710374</v>
      </c>
    </row>
    <row r="60" spans="8:12" x14ac:dyDescent="0.2">
      <c r="H60" t="s">
        <v>197</v>
      </c>
      <c r="I60">
        <v>1433420490</v>
      </c>
      <c r="J60">
        <v>43291572</v>
      </c>
      <c r="K60">
        <v>33867577</v>
      </c>
      <c r="L60">
        <v>1510579639</v>
      </c>
    </row>
    <row r="61" spans="8:12" x14ac:dyDescent="0.2">
      <c r="H61" t="s">
        <v>198</v>
      </c>
      <c r="I61">
        <v>1558984868</v>
      </c>
      <c r="J61">
        <v>47203621</v>
      </c>
      <c r="K61">
        <v>26762256</v>
      </c>
      <c r="L61">
        <v>1632950745</v>
      </c>
    </row>
    <row r="62" spans="8:12" x14ac:dyDescent="0.2">
      <c r="H62" t="s">
        <v>199</v>
      </c>
      <c r="I62">
        <v>1603951170</v>
      </c>
      <c r="J62">
        <v>36862562</v>
      </c>
      <c r="K62">
        <v>23736808</v>
      </c>
      <c r="L62">
        <v>1664550540</v>
      </c>
    </row>
    <row r="63" spans="8:12" x14ac:dyDescent="0.2">
      <c r="H63" t="s">
        <v>200</v>
      </c>
      <c r="I63">
        <v>1512090107</v>
      </c>
      <c r="J63">
        <v>17556333</v>
      </c>
      <c r="K63">
        <v>15261455</v>
      </c>
      <c r="L63">
        <v>1544907895</v>
      </c>
    </row>
    <row r="64" spans="8:12" x14ac:dyDescent="0.2">
      <c r="H64" t="s">
        <v>201</v>
      </c>
      <c r="I64">
        <v>1608761070</v>
      </c>
      <c r="J64">
        <v>18395288</v>
      </c>
      <c r="K64">
        <v>28219802</v>
      </c>
      <c r="L64">
        <v>1655376160</v>
      </c>
    </row>
    <row r="65" spans="8:12" x14ac:dyDescent="0.2">
      <c r="H65" t="s">
        <v>202</v>
      </c>
      <c r="I65">
        <v>1449783300</v>
      </c>
      <c r="J65">
        <v>42101847</v>
      </c>
      <c r="K65">
        <v>32620564</v>
      </c>
      <c r="L65">
        <v>1524505711</v>
      </c>
    </row>
    <row r="66" spans="8:12" x14ac:dyDescent="0.2">
      <c r="H66" t="s">
        <v>203</v>
      </c>
      <c r="I66">
        <v>1533174826</v>
      </c>
      <c r="J66">
        <v>47266177</v>
      </c>
      <c r="K66">
        <v>39635422</v>
      </c>
      <c r="L66">
        <v>1620076425</v>
      </c>
    </row>
    <row r="67" spans="8:12" x14ac:dyDescent="0.2">
      <c r="H67" t="s">
        <v>204</v>
      </c>
      <c r="I67">
        <v>1629724648</v>
      </c>
      <c r="J67">
        <v>34896648</v>
      </c>
      <c r="K67">
        <v>48133929</v>
      </c>
      <c r="L67">
        <v>1712755225</v>
      </c>
    </row>
    <row r="68" spans="8:12" x14ac:dyDescent="0.2">
      <c r="H68" t="s">
        <v>205</v>
      </c>
      <c r="I68">
        <v>1613909570</v>
      </c>
      <c r="J68">
        <v>45034283</v>
      </c>
      <c r="K68">
        <v>62469777</v>
      </c>
      <c r="L68">
        <v>1721413630</v>
      </c>
    </row>
    <row r="69" spans="8:12" x14ac:dyDescent="0.2">
      <c r="H69" t="s">
        <v>206</v>
      </c>
      <c r="I69">
        <v>1479930994</v>
      </c>
      <c r="J69">
        <v>46516194</v>
      </c>
      <c r="K69">
        <v>25687996</v>
      </c>
      <c r="L69">
        <v>1552135184</v>
      </c>
    </row>
    <row r="70" spans="8:12" x14ac:dyDescent="0.2">
      <c r="H70" t="s">
        <v>207</v>
      </c>
      <c r="I70">
        <v>1441150620</v>
      </c>
      <c r="J70">
        <v>35452922</v>
      </c>
      <c r="K70">
        <v>45473454</v>
      </c>
      <c r="L70">
        <v>1522076996</v>
      </c>
    </row>
    <row r="71" spans="8:12" x14ac:dyDescent="0.2">
      <c r="H71" t="s">
        <v>208</v>
      </c>
      <c r="I71">
        <v>1583499636</v>
      </c>
      <c r="J71">
        <v>45134970</v>
      </c>
      <c r="K71">
        <v>49061316</v>
      </c>
      <c r="L71">
        <v>1677695922</v>
      </c>
    </row>
    <row r="72" spans="8:12" x14ac:dyDescent="0.2">
      <c r="H72" t="s">
        <v>209</v>
      </c>
      <c r="I72">
        <v>1515816814</v>
      </c>
      <c r="J72">
        <v>47650735</v>
      </c>
      <c r="K72">
        <v>39762511</v>
      </c>
      <c r="L72">
        <v>1603230060</v>
      </c>
    </row>
    <row r="73" spans="8:12" x14ac:dyDescent="0.2">
      <c r="H73" t="s">
        <v>210</v>
      </c>
      <c r="I73">
        <v>1715318496</v>
      </c>
      <c r="J73">
        <v>55758515</v>
      </c>
      <c r="K73">
        <v>44262883</v>
      </c>
      <c r="L73">
        <v>1815339894</v>
      </c>
    </row>
    <row r="74" spans="8:12" x14ac:dyDescent="0.2">
      <c r="H74" t="s">
        <v>211</v>
      </c>
      <c r="I74">
        <v>1705267006</v>
      </c>
      <c r="J74">
        <v>44587013</v>
      </c>
      <c r="K74">
        <v>46014310</v>
      </c>
      <c r="L74">
        <v>1795868329</v>
      </c>
    </row>
    <row r="75" spans="8:12" x14ac:dyDescent="0.2">
      <c r="H75" t="s">
        <v>212</v>
      </c>
      <c r="I75">
        <v>1662874923</v>
      </c>
      <c r="J75">
        <v>49376454</v>
      </c>
      <c r="K75">
        <v>35162932</v>
      </c>
      <c r="L75">
        <v>1747414309</v>
      </c>
    </row>
    <row r="76" spans="8:12" x14ac:dyDescent="0.2">
      <c r="H76" t="s">
        <v>213</v>
      </c>
      <c r="I76">
        <v>1732572102</v>
      </c>
      <c r="J76">
        <v>13377847</v>
      </c>
      <c r="K76">
        <v>49365412</v>
      </c>
      <c r="L76">
        <v>1795315361</v>
      </c>
    </row>
    <row r="77" spans="8:12" x14ac:dyDescent="0.2">
      <c r="H77" t="s">
        <v>214</v>
      </c>
      <c r="I77">
        <v>1621399371</v>
      </c>
      <c r="J77">
        <v>9719410</v>
      </c>
      <c r="K77">
        <v>66995608</v>
      </c>
      <c r="L77">
        <v>1698114389</v>
      </c>
    </row>
    <row r="78" spans="8:12" x14ac:dyDescent="0.2">
      <c r="H78" t="s">
        <v>215</v>
      </c>
      <c r="I78">
        <v>1728385207</v>
      </c>
      <c r="J78">
        <v>49580462</v>
      </c>
      <c r="K78">
        <v>63806984</v>
      </c>
      <c r="L78">
        <v>1841772653</v>
      </c>
    </row>
    <row r="79" spans="8:12" x14ac:dyDescent="0.2">
      <c r="H79" t="s">
        <v>216</v>
      </c>
      <c r="I79">
        <v>1649872430</v>
      </c>
      <c r="J79">
        <v>45362116</v>
      </c>
      <c r="K79">
        <v>47467694</v>
      </c>
      <c r="L79">
        <v>1742702240</v>
      </c>
    </row>
    <row r="80" spans="8:12" x14ac:dyDescent="0.2">
      <c r="H80" t="s">
        <v>217</v>
      </c>
      <c r="I80">
        <v>1798120043</v>
      </c>
      <c r="J80">
        <v>50519280</v>
      </c>
      <c r="K80">
        <v>77683305</v>
      </c>
      <c r="L80">
        <v>1926322628</v>
      </c>
    </row>
    <row r="81" spans="8:12" x14ac:dyDescent="0.2">
      <c r="H81" t="s">
        <v>218</v>
      </c>
      <c r="I81">
        <v>1573140640</v>
      </c>
      <c r="J81">
        <v>33059689</v>
      </c>
      <c r="K81">
        <v>41489038</v>
      </c>
      <c r="L81">
        <v>1647689367</v>
      </c>
    </row>
    <row r="82" spans="8:12" x14ac:dyDescent="0.2">
      <c r="H82" t="s">
        <v>219</v>
      </c>
      <c r="I82">
        <v>1637679201</v>
      </c>
      <c r="J82">
        <v>56213823</v>
      </c>
      <c r="K82">
        <v>58580434</v>
      </c>
      <c r="L82">
        <v>1752473458</v>
      </c>
    </row>
    <row r="83" spans="8:12" x14ac:dyDescent="0.2">
      <c r="H83" t="s">
        <v>220</v>
      </c>
      <c r="I83">
        <v>1606376265</v>
      </c>
      <c r="J83">
        <v>32296954</v>
      </c>
      <c r="K83">
        <v>34812233</v>
      </c>
      <c r="L83">
        <v>1673485452</v>
      </c>
    </row>
    <row r="84" spans="8:12" x14ac:dyDescent="0.2">
      <c r="H84" t="s">
        <v>221</v>
      </c>
      <c r="I84">
        <v>1688821738</v>
      </c>
      <c r="J84">
        <v>33287827</v>
      </c>
      <c r="K84">
        <v>55827311</v>
      </c>
      <c r="L84">
        <v>1777936876</v>
      </c>
    </row>
    <row r="85" spans="8:12" x14ac:dyDescent="0.2">
      <c r="H85" t="s">
        <v>222</v>
      </c>
      <c r="I85">
        <v>1710469297</v>
      </c>
      <c r="J85">
        <v>44469996</v>
      </c>
      <c r="K85">
        <v>40457252</v>
      </c>
      <c r="L85">
        <v>1795396545</v>
      </c>
    </row>
    <row r="86" spans="8:12" x14ac:dyDescent="0.2">
      <c r="H86" t="s">
        <v>223</v>
      </c>
      <c r="I86">
        <v>1711946457</v>
      </c>
      <c r="J86">
        <v>59741821</v>
      </c>
      <c r="K86">
        <v>44718482</v>
      </c>
      <c r="L86">
        <v>1816406760</v>
      </c>
    </row>
    <row r="87" spans="8:12" x14ac:dyDescent="0.2">
      <c r="H87" t="s">
        <v>224</v>
      </c>
      <c r="I87">
        <v>1854484445</v>
      </c>
      <c r="J87">
        <v>28983122</v>
      </c>
      <c r="K87">
        <v>52664557</v>
      </c>
      <c r="L87">
        <v>1936132124</v>
      </c>
    </row>
    <row r="88" spans="8:12" x14ac:dyDescent="0.2">
      <c r="H88" t="s">
        <v>225</v>
      </c>
      <c r="I88">
        <v>1811746657</v>
      </c>
      <c r="J88">
        <v>29968773</v>
      </c>
      <c r="K88">
        <v>29766889</v>
      </c>
      <c r="L88">
        <v>1871482319</v>
      </c>
    </row>
    <row r="89" spans="8:12" x14ac:dyDescent="0.2">
      <c r="H89" t="s">
        <v>226</v>
      </c>
      <c r="I89">
        <v>1714890455</v>
      </c>
      <c r="J89">
        <v>29706606</v>
      </c>
      <c r="K89">
        <v>56370426</v>
      </c>
      <c r="L89">
        <v>1800967487</v>
      </c>
    </row>
    <row r="90" spans="8:12" x14ac:dyDescent="0.2">
      <c r="H90" t="s">
        <v>227</v>
      </c>
      <c r="I90">
        <v>1808636493</v>
      </c>
      <c r="J90">
        <v>22409865</v>
      </c>
      <c r="K90">
        <v>32109803</v>
      </c>
      <c r="L90">
        <v>1863156161</v>
      </c>
    </row>
    <row r="91" spans="8:12" x14ac:dyDescent="0.2">
      <c r="H91" t="s">
        <v>228</v>
      </c>
      <c r="I91">
        <v>1691835329</v>
      </c>
      <c r="J91">
        <v>9353820</v>
      </c>
      <c r="K91">
        <v>58053640</v>
      </c>
      <c r="L91">
        <v>1759242789</v>
      </c>
    </row>
    <row r="92" spans="8:12" x14ac:dyDescent="0.2">
      <c r="H92" t="s">
        <v>229</v>
      </c>
      <c r="I92">
        <v>1979979803</v>
      </c>
      <c r="J92">
        <v>7640226</v>
      </c>
      <c r="K92">
        <v>79993284</v>
      </c>
      <c r="L92">
        <v>2067613313</v>
      </c>
    </row>
    <row r="93" spans="8:12" x14ac:dyDescent="0.2">
      <c r="H93" t="s">
        <v>230</v>
      </c>
      <c r="I93">
        <v>1626990281</v>
      </c>
      <c r="J93">
        <v>7897206</v>
      </c>
      <c r="K93">
        <v>8373659</v>
      </c>
      <c r="L93">
        <v>1643261146</v>
      </c>
    </row>
    <row r="94" spans="8:12" x14ac:dyDescent="0.2">
      <c r="H94" t="s">
        <v>231</v>
      </c>
      <c r="I94">
        <v>1487736199</v>
      </c>
      <c r="J94">
        <v>0</v>
      </c>
      <c r="K94">
        <v>10874626</v>
      </c>
      <c r="L94">
        <v>1498610825</v>
      </c>
    </row>
    <row r="95" spans="8:12" x14ac:dyDescent="0.2">
      <c r="H95" t="s">
        <v>232</v>
      </c>
      <c r="I95">
        <v>1649573637</v>
      </c>
      <c r="J95">
        <v>12416311</v>
      </c>
      <c r="K95">
        <v>21465340</v>
      </c>
      <c r="L95">
        <v>1683455288</v>
      </c>
    </row>
    <row r="96" spans="8:12" x14ac:dyDescent="0.2">
      <c r="H96" t="s">
        <v>233</v>
      </c>
      <c r="I96">
        <v>1634791983</v>
      </c>
      <c r="J96">
        <v>8330745</v>
      </c>
      <c r="K96">
        <v>5843170</v>
      </c>
      <c r="L96">
        <v>1648965898</v>
      </c>
    </row>
    <row r="97" spans="8:12" x14ac:dyDescent="0.2">
      <c r="H97" t="s">
        <v>234</v>
      </c>
      <c r="I97">
        <v>1697993492</v>
      </c>
      <c r="J97">
        <v>10632818</v>
      </c>
      <c r="K97">
        <v>5826318</v>
      </c>
      <c r="L97">
        <v>1714452628</v>
      </c>
    </row>
    <row r="98" spans="8:12" x14ac:dyDescent="0.2">
      <c r="H98" t="s">
        <v>235</v>
      </c>
      <c r="I98">
        <v>1747998508</v>
      </c>
      <c r="J98">
        <v>5653551</v>
      </c>
      <c r="K98">
        <v>4950892</v>
      </c>
      <c r="L98">
        <v>1758602951</v>
      </c>
    </row>
    <row r="99" spans="8:12" x14ac:dyDescent="0.2">
      <c r="H99" t="s">
        <v>236</v>
      </c>
      <c r="I99">
        <v>1770997998</v>
      </c>
      <c r="J99">
        <v>6673707</v>
      </c>
      <c r="K99">
        <v>5129264</v>
      </c>
      <c r="L99">
        <v>1782800969</v>
      </c>
    </row>
    <row r="100" spans="8:12" x14ac:dyDescent="0.2">
      <c r="H100" t="s">
        <v>237</v>
      </c>
      <c r="I100">
        <v>1682112977</v>
      </c>
      <c r="J100">
        <v>0</v>
      </c>
      <c r="K100">
        <v>5134372</v>
      </c>
      <c r="L100">
        <v>1687247349</v>
      </c>
    </row>
    <row r="101" spans="8:12" x14ac:dyDescent="0.2">
      <c r="H101" t="s">
        <v>238</v>
      </c>
      <c r="I101">
        <v>1742576313</v>
      </c>
      <c r="J101">
        <v>5847244</v>
      </c>
      <c r="K101">
        <v>19200605</v>
      </c>
      <c r="L101">
        <v>1767624162</v>
      </c>
    </row>
    <row r="102" spans="8:12" x14ac:dyDescent="0.2">
      <c r="H102" t="s">
        <v>239</v>
      </c>
      <c r="I102">
        <v>1787661871</v>
      </c>
      <c r="J102">
        <v>0</v>
      </c>
      <c r="K102">
        <v>36816419</v>
      </c>
      <c r="L102">
        <v>1824478290</v>
      </c>
    </row>
    <row r="103" spans="8:12" x14ac:dyDescent="0.2">
      <c r="H103" t="s">
        <v>240</v>
      </c>
      <c r="I103">
        <v>1616531664</v>
      </c>
      <c r="J103">
        <v>6204424</v>
      </c>
      <c r="K103">
        <v>23176146</v>
      </c>
      <c r="L103">
        <v>1645912234</v>
      </c>
    </row>
    <row r="104" spans="8:12" x14ac:dyDescent="0.2">
      <c r="H104" t="s">
        <v>241</v>
      </c>
      <c r="I104">
        <v>1827642426</v>
      </c>
      <c r="J104">
        <v>0</v>
      </c>
      <c r="K104">
        <v>33951839</v>
      </c>
      <c r="L104">
        <v>1861594265</v>
      </c>
    </row>
    <row r="105" spans="8:12" x14ac:dyDescent="0.2">
      <c r="H105" t="s">
        <v>242</v>
      </c>
      <c r="I105">
        <v>1607134574</v>
      </c>
      <c r="J105">
        <v>0</v>
      </c>
      <c r="K105">
        <v>5646004</v>
      </c>
      <c r="L105">
        <v>1612780578</v>
      </c>
    </row>
    <row r="106" spans="8:12" x14ac:dyDescent="0.2">
      <c r="H106" t="s">
        <v>243</v>
      </c>
      <c r="I106">
        <v>1547496359</v>
      </c>
      <c r="J106">
        <v>6196347</v>
      </c>
      <c r="K106">
        <v>5351679</v>
      </c>
      <c r="L106">
        <v>1559044385</v>
      </c>
    </row>
    <row r="107" spans="8:12" x14ac:dyDescent="0.2">
      <c r="H107" t="s">
        <v>244</v>
      </c>
      <c r="I107">
        <v>1774543993</v>
      </c>
      <c r="J107">
        <v>0</v>
      </c>
      <c r="K107">
        <v>1246836</v>
      </c>
      <c r="L107">
        <v>1775790829</v>
      </c>
    </row>
    <row r="108" spans="8:12" x14ac:dyDescent="0.2">
      <c r="H108" t="s">
        <v>245</v>
      </c>
      <c r="I108">
        <v>1773496330</v>
      </c>
      <c r="J108">
        <v>12175466</v>
      </c>
      <c r="K108">
        <v>5480421</v>
      </c>
      <c r="L108">
        <v>1791152217</v>
      </c>
    </row>
    <row r="109" spans="8:12" x14ac:dyDescent="0.2">
      <c r="H109" t="s">
        <v>246</v>
      </c>
      <c r="I109">
        <v>1834589823</v>
      </c>
      <c r="J109">
        <v>0</v>
      </c>
      <c r="K109">
        <v>17185942</v>
      </c>
      <c r="L109">
        <v>1851775765</v>
      </c>
    </row>
    <row r="110" spans="8:12" x14ac:dyDescent="0.2">
      <c r="H110" t="s">
        <v>247</v>
      </c>
      <c r="I110">
        <v>1918635184</v>
      </c>
      <c r="J110">
        <v>0</v>
      </c>
      <c r="K110">
        <v>24896280</v>
      </c>
      <c r="L110">
        <v>1943531464</v>
      </c>
    </row>
    <row r="111" spans="8:12" x14ac:dyDescent="0.2">
      <c r="H111" t="s">
        <v>248</v>
      </c>
      <c r="I111">
        <v>1790842168</v>
      </c>
      <c r="J111">
        <v>0</v>
      </c>
      <c r="K111">
        <v>14672112</v>
      </c>
      <c r="L111">
        <v>1805514280</v>
      </c>
    </row>
    <row r="112" spans="8:12" x14ac:dyDescent="0.2">
      <c r="H112" t="s">
        <v>135</v>
      </c>
      <c r="I112">
        <v>158951615015</v>
      </c>
      <c r="J112">
        <v>3050392200</v>
      </c>
      <c r="K112">
        <v>3305813393</v>
      </c>
      <c r="L112">
        <v>165307820608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workbookViewId="0">
      <selection activeCell="D21" sqref="D21"/>
    </sheetView>
  </sheetViews>
  <sheetFormatPr baseColWidth="10" defaultRowHeight="16" x14ac:dyDescent="0.2"/>
  <cols>
    <col min="1" max="1" width="40" customWidth="1"/>
    <col min="2" max="2" width="18" customWidth="1"/>
    <col min="3" max="3" width="23" customWidth="1"/>
    <col min="4" max="4" width="38" customWidth="1"/>
    <col min="5" max="5" width="62" customWidth="1"/>
  </cols>
  <sheetData>
    <row r="1" spans="1:5" ht="34.75" customHeight="1" x14ac:dyDescent="0.2">
      <c r="A1" s="103" t="s">
        <v>249</v>
      </c>
      <c r="B1" s="104"/>
      <c r="C1" s="103"/>
      <c r="D1" s="103"/>
      <c r="E1" s="103"/>
    </row>
    <row r="2" spans="1:5" x14ac:dyDescent="0.2">
      <c r="A2" s="3"/>
      <c r="B2" s="22"/>
      <c r="C2" s="3"/>
      <c r="D2" s="3"/>
      <c r="E2" s="3"/>
    </row>
    <row r="3" spans="1:5" ht="17" x14ac:dyDescent="0.2">
      <c r="A3" s="62" t="s">
        <v>250</v>
      </c>
      <c r="B3" s="63" t="s">
        <v>35</v>
      </c>
      <c r="C3" s="62" t="s">
        <v>36</v>
      </c>
      <c r="D3" s="62" t="s">
        <v>251</v>
      </c>
      <c r="E3" s="62" t="s">
        <v>252</v>
      </c>
    </row>
    <row r="4" spans="1:5" ht="34" x14ac:dyDescent="0.2">
      <c r="A4" s="3" t="s">
        <v>253</v>
      </c>
      <c r="B4" s="64">
        <v>0</v>
      </c>
      <c r="C4" s="3" t="s">
        <v>254</v>
      </c>
      <c r="D4" s="3" t="s">
        <v>255</v>
      </c>
      <c r="E4" s="3" t="s">
        <v>256</v>
      </c>
    </row>
    <row r="5" spans="1:5" ht="34" x14ac:dyDescent="0.2">
      <c r="A5" s="3" t="s">
        <v>257</v>
      </c>
      <c r="B5" s="64">
        <v>0</v>
      </c>
      <c r="C5" s="3" t="s">
        <v>254</v>
      </c>
      <c r="D5" s="3" t="s">
        <v>258</v>
      </c>
      <c r="E5" s="3" t="s">
        <v>259</v>
      </c>
    </row>
    <row r="6" spans="1:5" ht="17" x14ac:dyDescent="0.2">
      <c r="A6" s="3" t="s">
        <v>260</v>
      </c>
      <c r="B6" s="64">
        <v>0.1</v>
      </c>
      <c r="C6" s="3" t="s">
        <v>261</v>
      </c>
      <c r="D6" s="3" t="s">
        <v>262</v>
      </c>
      <c r="E6" s="3" t="s">
        <v>263</v>
      </c>
    </row>
    <row r="7" spans="1:5" ht="17" x14ac:dyDescent="0.2">
      <c r="A7" s="3" t="s">
        <v>264</v>
      </c>
      <c r="B7" s="64">
        <v>0.6</v>
      </c>
      <c r="C7" s="3" t="s">
        <v>261</v>
      </c>
      <c r="D7" s="3" t="s">
        <v>265</v>
      </c>
      <c r="E7" s="3" t="s">
        <v>266</v>
      </c>
    </row>
    <row r="8" spans="1:5" ht="34" x14ac:dyDescent="0.2">
      <c r="A8" s="3" t="s">
        <v>267</v>
      </c>
      <c r="B8" s="64">
        <v>0.8</v>
      </c>
      <c r="C8" s="3" t="s">
        <v>268</v>
      </c>
      <c r="D8" s="3" t="s">
        <v>269</v>
      </c>
      <c r="E8" s="3" t="s">
        <v>270</v>
      </c>
    </row>
    <row r="9" spans="1:5" ht="17" x14ac:dyDescent="0.2">
      <c r="A9" s="3" t="s">
        <v>271</v>
      </c>
      <c r="B9" s="64">
        <v>1</v>
      </c>
      <c r="C9" s="3" t="s">
        <v>272</v>
      </c>
      <c r="D9" s="3" t="s">
        <v>273</v>
      </c>
      <c r="E9" s="3" t="s">
        <v>274</v>
      </c>
    </row>
    <row r="10" spans="1:5" ht="34" x14ac:dyDescent="0.2">
      <c r="A10" s="3" t="s">
        <v>275</v>
      </c>
      <c r="B10" s="64">
        <v>0</v>
      </c>
      <c r="C10" s="3" t="s">
        <v>276</v>
      </c>
      <c r="D10" s="3" t="s">
        <v>277</v>
      </c>
      <c r="E10" s="3" t="s">
        <v>278</v>
      </c>
    </row>
    <row r="11" spans="1:5" ht="17" x14ac:dyDescent="0.2">
      <c r="A11" s="3" t="s">
        <v>279</v>
      </c>
      <c r="B11" s="64">
        <v>0</v>
      </c>
      <c r="C11" s="3" t="s">
        <v>280</v>
      </c>
      <c r="D11" s="3" t="s">
        <v>281</v>
      </c>
      <c r="E11" s="3" t="s">
        <v>282</v>
      </c>
    </row>
    <row r="12" spans="1:5" ht="17" x14ac:dyDescent="0.2">
      <c r="A12" s="3" t="s">
        <v>283</v>
      </c>
      <c r="B12" s="64">
        <v>0</v>
      </c>
      <c r="C12" s="3" t="s">
        <v>284</v>
      </c>
      <c r="D12" s="3" t="s">
        <v>285</v>
      </c>
      <c r="E12" s="3" t="s">
        <v>263</v>
      </c>
    </row>
    <row r="13" spans="1:5" ht="34" x14ac:dyDescent="0.2">
      <c r="A13" s="3" t="s">
        <v>286</v>
      </c>
      <c r="B13" s="64">
        <v>0</v>
      </c>
      <c r="C13" s="3" t="s">
        <v>287</v>
      </c>
      <c r="D13" s="3" t="s">
        <v>288</v>
      </c>
      <c r="E13" s="3" t="s">
        <v>263</v>
      </c>
    </row>
    <row r="14" spans="1:5" ht="34" x14ac:dyDescent="0.2">
      <c r="A14" s="3" t="s">
        <v>289</v>
      </c>
      <c r="B14" s="65">
        <v>200</v>
      </c>
      <c r="C14" s="3" t="s">
        <v>290</v>
      </c>
      <c r="D14" s="3" t="s">
        <v>291</v>
      </c>
      <c r="E14" s="3" t="s">
        <v>292</v>
      </c>
    </row>
    <row r="15" spans="1:5" ht="34" x14ac:dyDescent="0.2">
      <c r="A15" s="3" t="s">
        <v>293</v>
      </c>
      <c r="B15" s="66">
        <v>0</v>
      </c>
      <c r="C15" s="3" t="s">
        <v>294</v>
      </c>
      <c r="D15" s="3" t="s">
        <v>295</v>
      </c>
      <c r="E15" s="3" t="s">
        <v>296</v>
      </c>
    </row>
    <row r="16" spans="1:5" ht="17" x14ac:dyDescent="0.2">
      <c r="A16" s="23" t="s">
        <v>297</v>
      </c>
      <c r="B16" s="67" t="s">
        <v>298</v>
      </c>
      <c r="C16" s="23" t="s">
        <v>299</v>
      </c>
      <c r="D16" s="23" t="s">
        <v>300</v>
      </c>
      <c r="E16" s="23" t="s">
        <v>301</v>
      </c>
    </row>
    <row r="17" spans="1:5" ht="34" x14ac:dyDescent="0.2">
      <c r="A17" s="3" t="s">
        <v>302</v>
      </c>
      <c r="B17" s="66">
        <v>0.1</v>
      </c>
      <c r="C17" s="3" t="s">
        <v>254</v>
      </c>
      <c r="D17" s="3" t="s">
        <v>303</v>
      </c>
      <c r="E17" s="3" t="s">
        <v>304</v>
      </c>
    </row>
    <row r="18" spans="1:5" x14ac:dyDescent="0.2">
      <c r="A18" s="3"/>
      <c r="B18" s="24"/>
      <c r="C18" s="3"/>
      <c r="D18" s="3"/>
      <c r="E18" s="3"/>
    </row>
    <row r="19" spans="1:5" x14ac:dyDescent="0.2">
      <c r="A19" s="3"/>
      <c r="B19" s="25"/>
      <c r="C19" s="3"/>
      <c r="D19" s="3"/>
      <c r="E19" s="3"/>
    </row>
    <row r="20" spans="1:5" ht="34" x14ac:dyDescent="0.2">
      <c r="A20" s="68" t="s">
        <v>305</v>
      </c>
      <c r="B20" s="69" t="s">
        <v>35</v>
      </c>
      <c r="C20" s="68" t="s">
        <v>36</v>
      </c>
      <c r="D20" s="68" t="s">
        <v>306</v>
      </c>
      <c r="E20" s="68" t="s">
        <v>252</v>
      </c>
    </row>
    <row r="21" spans="1:5" ht="34" x14ac:dyDescent="0.2">
      <c r="A21" s="3" t="s">
        <v>307</v>
      </c>
      <c r="B21" s="70">
        <v>0.2</v>
      </c>
      <c r="C21" s="3" t="s">
        <v>308</v>
      </c>
      <c r="D21" s="3" t="s">
        <v>309</v>
      </c>
      <c r="E21" s="3" t="s">
        <v>310</v>
      </c>
    </row>
    <row r="22" spans="1:5" ht="17" x14ac:dyDescent="0.2">
      <c r="A22" s="3" t="s">
        <v>311</v>
      </c>
      <c r="B22" s="70">
        <v>1</v>
      </c>
      <c r="C22" s="3" t="s">
        <v>312</v>
      </c>
      <c r="D22" s="3" t="s">
        <v>313</v>
      </c>
      <c r="E22" s="3" t="s">
        <v>314</v>
      </c>
    </row>
    <row r="23" spans="1:5" ht="17" x14ac:dyDescent="0.2">
      <c r="A23" s="3" t="s">
        <v>315</v>
      </c>
      <c r="B23" s="71">
        <v>2025</v>
      </c>
      <c r="C23" s="3" t="s">
        <v>316</v>
      </c>
      <c r="D23" s="3" t="s">
        <v>317</v>
      </c>
      <c r="E23" s="3" t="s">
        <v>318</v>
      </c>
    </row>
    <row r="24" spans="1:5" ht="17" x14ac:dyDescent="0.2">
      <c r="A24" s="3" t="s">
        <v>319</v>
      </c>
      <c r="B24" s="71">
        <v>2030</v>
      </c>
      <c r="C24" s="3" t="s">
        <v>316</v>
      </c>
      <c r="D24" s="3" t="s">
        <v>320</v>
      </c>
      <c r="E24" s="3" t="s">
        <v>321</v>
      </c>
    </row>
    <row r="25" spans="1:5" ht="17" x14ac:dyDescent="0.2">
      <c r="A25" s="3" t="s">
        <v>322</v>
      </c>
      <c r="B25" s="71">
        <v>2040</v>
      </c>
      <c r="C25" s="3" t="s">
        <v>316</v>
      </c>
      <c r="D25" s="3" t="s">
        <v>323</v>
      </c>
      <c r="E25" s="3" t="s">
        <v>324</v>
      </c>
    </row>
    <row r="26" spans="1:5" ht="34" x14ac:dyDescent="0.2">
      <c r="A26" s="3" t="s">
        <v>325</v>
      </c>
      <c r="B26" s="72">
        <v>14.666666666699999</v>
      </c>
      <c r="C26" s="3" t="s">
        <v>326</v>
      </c>
      <c r="D26" s="3" t="s">
        <v>327</v>
      </c>
      <c r="E26" s="3" t="s">
        <v>328</v>
      </c>
    </row>
    <row r="27" spans="1:5" ht="34" x14ac:dyDescent="0.2">
      <c r="A27" s="3" t="s">
        <v>329</v>
      </c>
      <c r="B27" s="71">
        <v>3</v>
      </c>
      <c r="C27" s="3" t="s">
        <v>330</v>
      </c>
      <c r="D27" s="3" t="s">
        <v>331</v>
      </c>
      <c r="E27" s="3" t="s">
        <v>332</v>
      </c>
    </row>
    <row r="28" spans="1:5" ht="17" x14ac:dyDescent="0.2">
      <c r="A28" s="3" t="s">
        <v>333</v>
      </c>
      <c r="B28" s="73">
        <v>2048980612</v>
      </c>
      <c r="C28" s="3" t="s">
        <v>334</v>
      </c>
      <c r="D28" s="3" t="s">
        <v>335</v>
      </c>
      <c r="E28" s="3" t="s">
        <v>336</v>
      </c>
    </row>
    <row r="29" spans="1:5" ht="17" x14ac:dyDescent="0.2">
      <c r="A29" s="3" t="s">
        <v>337</v>
      </c>
      <c r="B29" s="73">
        <v>3000000000</v>
      </c>
      <c r="C29" s="3" t="s">
        <v>334</v>
      </c>
      <c r="D29" s="3" t="s">
        <v>338</v>
      </c>
      <c r="E29" s="3" t="s">
        <v>339</v>
      </c>
    </row>
    <row r="30" spans="1:5" ht="17" x14ac:dyDescent="0.2">
      <c r="A30" s="3" t="s">
        <v>340</v>
      </c>
      <c r="B30" s="73">
        <v>2912700000</v>
      </c>
      <c r="C30" s="3" t="s">
        <v>334</v>
      </c>
      <c r="D30" s="3" t="s">
        <v>341</v>
      </c>
      <c r="E30" s="3" t="s">
        <v>342</v>
      </c>
    </row>
    <row r="31" spans="1:5" ht="17" x14ac:dyDescent="0.2">
      <c r="A31" s="3" t="s">
        <v>343</v>
      </c>
      <c r="B31" s="73">
        <v>1686300000</v>
      </c>
      <c r="C31" s="3" t="s">
        <v>334</v>
      </c>
      <c r="D31" s="3" t="s">
        <v>344</v>
      </c>
      <c r="E31" s="3" t="s">
        <v>345</v>
      </c>
    </row>
    <row r="32" spans="1:5" ht="17" x14ac:dyDescent="0.2">
      <c r="A32" s="3" t="s">
        <v>346</v>
      </c>
      <c r="B32" s="72">
        <v>59</v>
      </c>
      <c r="C32" s="3" t="s">
        <v>290</v>
      </c>
      <c r="D32" s="3" t="s">
        <v>347</v>
      </c>
      <c r="E32" s="3" t="s">
        <v>348</v>
      </c>
    </row>
    <row r="33" spans="1:5" ht="34" x14ac:dyDescent="0.2">
      <c r="A33" s="3" t="s">
        <v>349</v>
      </c>
      <c r="B33" s="72">
        <v>200</v>
      </c>
      <c r="C33" s="3" t="s">
        <v>290</v>
      </c>
      <c r="D33" s="3" t="s">
        <v>347</v>
      </c>
      <c r="E33" s="3" t="s">
        <v>350</v>
      </c>
    </row>
    <row r="34" spans="1:5" x14ac:dyDescent="0.2">
      <c r="A34" s="3"/>
      <c r="B34" s="61"/>
      <c r="C34" s="3"/>
      <c r="D34" s="3"/>
      <c r="E34" s="3"/>
    </row>
    <row r="35" spans="1:5" x14ac:dyDescent="0.2">
      <c r="A35" s="3"/>
      <c r="B35" s="60"/>
      <c r="C35" s="3"/>
      <c r="D35" s="3"/>
      <c r="E35" s="3"/>
    </row>
    <row r="36" spans="1:5" ht="119" x14ac:dyDescent="0.2">
      <c r="A36" s="50" t="s">
        <v>351</v>
      </c>
      <c r="B36" s="3" t="s">
        <v>352</v>
      </c>
      <c r="C36" s="3"/>
      <c r="D36" s="3"/>
      <c r="E36" s="3"/>
    </row>
    <row r="37" spans="1:5" ht="34" x14ac:dyDescent="0.2">
      <c r="A37" s="50" t="s">
        <v>353</v>
      </c>
      <c r="B37" s="3" t="s">
        <v>354</v>
      </c>
      <c r="C37" s="3"/>
      <c r="D37" s="3"/>
      <c r="E37" s="3"/>
    </row>
    <row r="38" spans="1:5" ht="119" x14ac:dyDescent="0.2">
      <c r="A38" s="50" t="s">
        <v>355</v>
      </c>
      <c r="B38" s="3" t="s">
        <v>356</v>
      </c>
      <c r="C38" s="3"/>
      <c r="D38" s="3"/>
      <c r="E38" s="3"/>
    </row>
    <row r="39" spans="1:5" ht="68" x14ac:dyDescent="0.2">
      <c r="A39" s="50" t="s">
        <v>357</v>
      </c>
      <c r="B39" s="3" t="s">
        <v>358</v>
      </c>
      <c r="C39" s="3"/>
      <c r="D39" s="3"/>
      <c r="E39" s="3"/>
    </row>
    <row r="40" spans="1:5" ht="85" x14ac:dyDescent="0.2">
      <c r="A40" s="50" t="s">
        <v>359</v>
      </c>
      <c r="B40" s="3" t="s">
        <v>360</v>
      </c>
      <c r="C40" s="3"/>
      <c r="D40" s="3"/>
      <c r="E40" s="3"/>
    </row>
    <row r="41" spans="1:5" ht="102" x14ac:dyDescent="0.2">
      <c r="A41" s="50" t="s">
        <v>361</v>
      </c>
      <c r="B41" s="3" t="s">
        <v>362</v>
      </c>
      <c r="C41" s="3"/>
      <c r="D41" s="3"/>
      <c r="E41" s="3"/>
    </row>
    <row r="42" spans="1:5" ht="85" x14ac:dyDescent="0.2">
      <c r="A42" s="50" t="s">
        <v>363</v>
      </c>
      <c r="B42" s="3" t="s">
        <v>364</v>
      </c>
      <c r="C42" s="3"/>
      <c r="D42" s="3"/>
      <c r="E42" s="3"/>
    </row>
    <row r="43" spans="1:5" x14ac:dyDescent="0.2">
      <c r="A43" s="50"/>
      <c r="B43" s="3"/>
      <c r="C43" s="3"/>
      <c r="D43" s="3"/>
      <c r="E43" s="3"/>
    </row>
    <row r="44" spans="1:5" x14ac:dyDescent="0.2">
      <c r="A44" s="50"/>
      <c r="B44" s="3"/>
      <c r="C44" s="3"/>
      <c r="D44" s="3"/>
      <c r="E44" s="3"/>
    </row>
    <row r="45" spans="1:5" x14ac:dyDescent="0.2">
      <c r="A45" s="50"/>
      <c r="B45" s="3"/>
      <c r="C45" s="3"/>
      <c r="D45" s="3"/>
      <c r="E45" s="3"/>
    </row>
  </sheetData>
  <mergeCells count="1">
    <mergeCell ref="A1:E1"/>
  </mergeCells>
  <dataValidations count="1">
    <dataValidation type="list" sqref="B16" xr:uid="{00000000-0002-0000-0700-000000000000}">
      <formula1>"Base,Conservative"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27"/>
  <sheetViews>
    <sheetView topLeftCell="V1" workbookViewId="0">
      <selection activeCell="A18" sqref="A18"/>
    </sheetView>
  </sheetViews>
  <sheetFormatPr baseColWidth="10" defaultRowHeight="16" x14ac:dyDescent="0.2"/>
  <cols>
    <col min="1" max="1" width="9" customWidth="1"/>
    <col min="2" max="2" width="12" customWidth="1"/>
    <col min="3" max="3" width="16" customWidth="1"/>
    <col min="4" max="4" width="15" customWidth="1"/>
    <col min="5" max="5" width="16" customWidth="1"/>
    <col min="6" max="6" width="15" customWidth="1"/>
    <col min="7" max="7" width="14" customWidth="1"/>
    <col min="8" max="8" width="16" customWidth="1"/>
    <col min="9" max="10" width="18" customWidth="1"/>
    <col min="11" max="11" width="15" customWidth="1"/>
    <col min="12" max="12" width="18" customWidth="1"/>
    <col min="13" max="13" width="20" customWidth="1"/>
    <col min="14" max="14" width="18" customWidth="1"/>
    <col min="15" max="16" width="16" customWidth="1"/>
    <col min="17" max="18" width="18" customWidth="1"/>
    <col min="19" max="20" width="16" customWidth="1"/>
    <col min="21" max="21" width="17" customWidth="1"/>
    <col min="22" max="23" width="18" customWidth="1"/>
    <col min="24" max="24" width="19" customWidth="1"/>
    <col min="25" max="25" width="20" customWidth="1"/>
    <col min="26" max="26" width="18" customWidth="1"/>
    <col min="27" max="27" width="16" customWidth="1"/>
    <col min="28" max="28" width="15" customWidth="1"/>
    <col min="29" max="29" width="18" customWidth="1"/>
    <col min="30" max="30" width="15" customWidth="1"/>
    <col min="31" max="33" width="14" customWidth="1"/>
    <col min="34" max="38" width="18" customWidth="1"/>
    <col min="39" max="39" width="20" customWidth="1"/>
    <col min="40" max="40" width="18" customWidth="1"/>
    <col min="41" max="41" width="20" customWidth="1"/>
    <col min="42" max="42" width="16" customWidth="1"/>
  </cols>
  <sheetData>
    <row r="1" spans="1:42" s="3" customFormat="1" ht="68" x14ac:dyDescent="0.2">
      <c r="A1" s="74" t="s">
        <v>8</v>
      </c>
      <c r="B1" s="74" t="s">
        <v>365</v>
      </c>
      <c r="C1" s="74" t="s">
        <v>366</v>
      </c>
      <c r="D1" s="74" t="s">
        <v>367</v>
      </c>
      <c r="E1" s="74" t="s">
        <v>368</v>
      </c>
      <c r="F1" s="74" t="s">
        <v>369</v>
      </c>
      <c r="G1" s="74" t="s">
        <v>370</v>
      </c>
      <c r="H1" s="74" t="s">
        <v>371</v>
      </c>
      <c r="I1" s="74" t="s">
        <v>372</v>
      </c>
      <c r="J1" s="74" t="s">
        <v>373</v>
      </c>
      <c r="K1" s="74" t="s">
        <v>374</v>
      </c>
      <c r="L1" s="74" t="s">
        <v>375</v>
      </c>
      <c r="M1" s="74" t="s">
        <v>376</v>
      </c>
      <c r="N1" s="74" t="s">
        <v>377</v>
      </c>
      <c r="O1" s="74" t="s">
        <v>378</v>
      </c>
      <c r="P1" s="74" t="s">
        <v>379</v>
      </c>
      <c r="Q1" s="74" t="s">
        <v>380</v>
      </c>
      <c r="R1" s="74" t="s">
        <v>381</v>
      </c>
      <c r="S1" s="74" t="s">
        <v>382</v>
      </c>
      <c r="T1" s="74" t="s">
        <v>383</v>
      </c>
      <c r="U1" s="74" t="s">
        <v>384</v>
      </c>
      <c r="V1" s="74" t="s">
        <v>385</v>
      </c>
      <c r="W1" s="74" t="s">
        <v>386</v>
      </c>
      <c r="X1" s="74" t="s">
        <v>387</v>
      </c>
      <c r="Y1" s="74" t="s">
        <v>388</v>
      </c>
      <c r="Z1" s="74" t="s">
        <v>389</v>
      </c>
      <c r="AA1" s="74" t="s">
        <v>390</v>
      </c>
      <c r="AB1" s="74" t="s">
        <v>391</v>
      </c>
      <c r="AC1" s="74" t="s">
        <v>392</v>
      </c>
      <c r="AD1" s="74" t="s">
        <v>393</v>
      </c>
      <c r="AE1" s="74" t="s">
        <v>394</v>
      </c>
      <c r="AF1" s="74" t="s">
        <v>395</v>
      </c>
      <c r="AG1" s="74" t="s">
        <v>396</v>
      </c>
      <c r="AH1" s="74" t="s">
        <v>397</v>
      </c>
      <c r="AI1" s="75" t="s">
        <v>398</v>
      </c>
      <c r="AJ1" s="75" t="s">
        <v>399</v>
      </c>
      <c r="AK1" s="75" t="s">
        <v>400</v>
      </c>
      <c r="AL1" s="75" t="s">
        <v>401</v>
      </c>
      <c r="AM1" s="75" t="s">
        <v>402</v>
      </c>
      <c r="AN1" s="75" t="s">
        <v>403</v>
      </c>
      <c r="AO1" s="75" t="s">
        <v>404</v>
      </c>
      <c r="AP1" s="75" t="s">
        <v>405</v>
      </c>
    </row>
    <row r="2" spans="1:42" x14ac:dyDescent="0.2">
      <c r="A2" s="34">
        <v>2025</v>
      </c>
      <c r="B2" s="34">
        <f>A2-Inputs!$B$23</f>
        <v>0</v>
      </c>
      <c r="C2" s="31">
        <f>INDEX('FAA Forecast'!$C$4:$C$19,MATCH(A2,'FAA Forecast'!$A$4:$A$19,0))*(1+Inputs!$B$4)^B2</f>
        <v>1</v>
      </c>
      <c r="D2" s="31">
        <f>INDEX(EIA_AEO!$E$2:$E$27,MATCH(A2,EIA_AEO!$A$2:$A$27,0))*(1+Inputs!$B$5)^B2</f>
        <v>1</v>
      </c>
      <c r="E2" s="31">
        <f>MIN(1,MAX(0,Inputs!$B$11*B2/(Inputs!$B$25-Inputs!$B$23)))</f>
        <v>0</v>
      </c>
      <c r="F2" s="31">
        <f>1-E2*Inputs!$B$21</f>
        <v>1</v>
      </c>
      <c r="G2" s="31">
        <f>MIN(1,MAX(0,Inputs!$B$13*B2/(Inputs!$B$25-Inputs!$B$23)))</f>
        <v>0</v>
      </c>
      <c r="H2" s="35">
        <f>'Alaska Base'!$C$6*C2/D2*F2</f>
        <v>1146000000</v>
      </c>
      <c r="I2" s="35" cm="1">
        <f t="array" ref="I2">H2*(1-G2)</f>
        <v>1146000000</v>
      </c>
      <c r="J2" s="31">
        <f>MIN(1,MAX(0,IF(A2&lt;=Inputs!$B$24,'Alaska Base'!$C$19+(Inputs!$B$6-'Alaska Base'!$C$19)*((A2-Inputs!$B$23)/(Inputs!$B$24-Inputs!$B$23)),Inputs!$B$6+(Inputs!$B$7-Inputs!$B$6)*((A2-Inputs!$B$24)/(Inputs!$B$25-Inputs!$B$24)))))</f>
        <v>9.5036160558464224E-3</v>
      </c>
      <c r="K2" s="35">
        <f>I2*J2</f>
        <v>10891144</v>
      </c>
      <c r="L2" s="35">
        <f>INDEX('SAF Supply'!$L$4:$L$26,MATCH(A2,'SAF Supply'!$A$4:$A$26,0))</f>
        <v>287728509</v>
      </c>
      <c r="M2" s="31">
        <f>IF(L2=0,NA(),K2/L2)</f>
        <v>3.7852154580900431E-2</v>
      </c>
      <c r="N2" s="35">
        <f t="shared" ref="N2:N17" si="0">MAX(0,K2-L2)</f>
        <v>0</v>
      </c>
      <c r="O2" s="31">
        <f>IF(I2=0,0,MIN(J2,L2/I2))</f>
        <v>9.5036160558464224E-3</v>
      </c>
      <c r="P2" s="35">
        <f t="shared" ref="P2:P17" si="1">I2*O2</f>
        <v>10891144</v>
      </c>
      <c r="Q2" s="35">
        <f t="shared" ref="Q2:Q17" si="2">I2-P2</f>
        <v>1135108856</v>
      </c>
      <c r="R2" s="29">
        <f>'Alaska Base'!$C$7*INDEX(EIA_AEO!$C$2:$C$27,MATCH(A2,EIA_AEO!$A$2:$A$27,0))</f>
        <v>2.5099999999999998</v>
      </c>
      <c r="S2" s="29">
        <f>R2*(1+Inputs!$B$9)</f>
        <v>5.0199999999999996</v>
      </c>
      <c r="T2" s="29">
        <f>R2*(1+Inputs!$B$9*(1-Inputs!$B$10))</f>
        <v>5.0199999999999996</v>
      </c>
      <c r="U2" s="36">
        <f>I2*R2</f>
        <v>2876459999.9999995</v>
      </c>
      <c r="V2" s="36">
        <f t="shared" ref="V2:V17" si="3">Q2*R2+P2*T2</f>
        <v>2903796771.4400001</v>
      </c>
      <c r="W2" s="36">
        <f t="shared" ref="W2:W17" si="4">V2-U2</f>
        <v>27336771.440000534</v>
      </c>
      <c r="X2" s="36">
        <f>P2*R2*Inputs!$B$9*Inputs!$B$10</f>
        <v>0</v>
      </c>
      <c r="Y2" s="36">
        <f>'Alaska Base'!$C$8*C2</f>
        <v>14239000000</v>
      </c>
      <c r="Z2" s="31">
        <f t="shared" ref="Z2:Z17" si="5">W2/Y2</f>
        <v>1.9198519165672121E-3</v>
      </c>
      <c r="AA2" s="31">
        <f>1-O2*Inputs!$B$8</f>
        <v>0.99239710715532281</v>
      </c>
      <c r="AB2" s="30">
        <f>'Alaska Base'!$C$3/D2*F2*(AA2/(1-'Alaska Base'!$C$19*Inputs!$B$8))*(1-G2)</f>
        <v>1.33</v>
      </c>
      <c r="AC2" s="31">
        <f>1-AB2/'Alaska Base'!$C$2</f>
        <v>4.3165467625899123E-2</v>
      </c>
      <c r="AD2" s="30"/>
      <c r="AE2" s="30"/>
      <c r="AF2" s="30"/>
      <c r="AG2" s="35">
        <f>AB2*'Alaska Base'!$C$18*C2/1000</f>
        <v>10428326</v>
      </c>
      <c r="AH2" s="35">
        <f>MIN(1,MAX(0,Inputs!$B$12*B2/(Inputs!$B$25-Inputs!$B$23)))</f>
        <v>0</v>
      </c>
      <c r="AI2" s="35">
        <f>'Alaska Base'!$C$13*C2*(1-AH2)</f>
        <v>13789</v>
      </c>
      <c r="AJ2" s="35">
        <f>'Alaska Base'!$C$14*C2</f>
        <v>6385</v>
      </c>
      <c r="AK2" s="35">
        <f>'Alaska Base'!$C$16*C2</f>
        <v>13321</v>
      </c>
      <c r="AL2" s="35">
        <f t="shared" ref="AL2:AL17" si="6">AG2+AI2+AJ2+AK2</f>
        <v>10461821</v>
      </c>
      <c r="AM2" s="36">
        <f>Inputs!$B$14</f>
        <v>200</v>
      </c>
      <c r="AN2" s="36">
        <f>IF(A2=Inputs!$B$25,AL2*AM2*Inputs!$B$22,0)</f>
        <v>0</v>
      </c>
      <c r="AO2" s="36">
        <f t="shared" ref="AO2:AO17" si="7">W2+AN2</f>
        <v>27336771.440000534</v>
      </c>
      <c r="AP2" s="31">
        <f t="shared" ref="AP2:AP17" si="8">AO2/Y2</f>
        <v>1.9198519165672121E-3</v>
      </c>
    </row>
    <row r="3" spans="1:42" x14ac:dyDescent="0.2">
      <c r="A3" s="34">
        <v>2026</v>
      </c>
      <c r="B3" s="34">
        <v>1</v>
      </c>
      <c r="C3" s="31">
        <f>INDEX('FAA Forecast'!$C$4:$C$19,MATCH(A3,'FAA Forecast'!$A$4:$A$19,0))*(1+Inputs!$B$4)^B3</f>
        <v>1.0220363636363636</v>
      </c>
      <c r="D3" s="31">
        <f>INDEX(EIA_AEO!$E$2:$E$27,MATCH(A3,EIA_AEO!$A$2:$A$27,0))*(1+Inputs!$B$5)^B3</f>
        <v>1.0078634710803782</v>
      </c>
      <c r="E3" s="31">
        <f>MIN(1,MAX(0,Inputs!$B$11*B3/(Inputs!$B$25-Inputs!$B$23)))</f>
        <v>0</v>
      </c>
      <c r="F3" s="31">
        <f>1-E3*Inputs!$B$21</f>
        <v>1</v>
      </c>
      <c r="G3" s="31">
        <v>0</v>
      </c>
      <c r="H3" s="35">
        <v>1162115411.7945645</v>
      </c>
      <c r="I3" s="35" cm="1">
        <f t="array" ref="I3">H3*(1-G3)</f>
        <v>1162115411.7945645</v>
      </c>
      <c r="J3" s="31">
        <f>MIN(1,MAX(0,IF(A3&lt;=Inputs!$B$24,'Alaska Base'!$C$19+(Inputs!$B$6-'Alaska Base'!$C$19)*((A3-Inputs!$B$23)/(Inputs!$B$24-Inputs!$B$23)),Inputs!$B$6+(Inputs!$B$7-Inputs!$B$6)*((A3-Inputs!$B$24)/(Inputs!$B$25-Inputs!$B$24)))))</f>
        <v>2.7602892844677138E-2</v>
      </c>
      <c r="K3" s="35">
        <f t="shared" ref="K3:K27" si="9">I3*J3</f>
        <v>32077747.184913211</v>
      </c>
      <c r="L3" s="35">
        <v>426082685.12217546</v>
      </c>
      <c r="M3" s="31">
        <f t="shared" ref="M3:M27" si="10">IF(L3=0,NA(),K3/L3)</f>
        <v>7.5285263412464651E-2</v>
      </c>
      <c r="N3" s="35">
        <f t="shared" si="0"/>
        <v>0</v>
      </c>
      <c r="O3" s="31">
        <f t="shared" ref="O3:O27" si="11">IF(I3=0,0,MIN(J3,L3/I3))</f>
        <v>2.7602892844677138E-2</v>
      </c>
      <c r="P3" s="35">
        <f t="shared" si="1"/>
        <v>32077747.184913211</v>
      </c>
      <c r="Q3" s="35">
        <f t="shared" si="2"/>
        <v>1130037664.6096513</v>
      </c>
      <c r="R3" s="29">
        <f>'Alaska Base'!$C$7*INDEX(EIA_AEO!$C$2:$C$27,MATCH(A3,EIA_AEO!$A$2:$A$27,0))</f>
        <v>2.2385275303026222</v>
      </c>
      <c r="S3" s="29">
        <f>R3*(1+Inputs!$B$9)</f>
        <v>4.4770550606052444</v>
      </c>
      <c r="T3" s="29">
        <f>R3*(1+Inputs!$B$9*(1-Inputs!$B$10))</f>
        <v>4.4770550606052444</v>
      </c>
      <c r="U3" s="36">
        <f t="shared" ref="U3:U27" si="12">I3*R3</f>
        <v>2601427342.6911011</v>
      </c>
      <c r="V3" s="36">
        <f t="shared" si="3"/>
        <v>2673234262.8746166</v>
      </c>
      <c r="W3" s="36">
        <f t="shared" si="4"/>
        <v>71806920.183515549</v>
      </c>
      <c r="X3" s="36">
        <f>P3*R3*Inputs!$B$9*Inputs!$B$10</f>
        <v>0</v>
      </c>
      <c r="Y3" s="36">
        <f>'Alaska Base'!$C$8*C3</f>
        <v>14552775781.818182</v>
      </c>
      <c r="Z3" s="31">
        <f t="shared" si="5"/>
        <v>4.9342421858260908E-3</v>
      </c>
      <c r="AA3" s="31">
        <f>1-O3*Inputs!$B$8</f>
        <v>0.9779176857242583</v>
      </c>
      <c r="AB3" s="30">
        <f>'Alaska Base'!$C$3/D3*F3*(AA3/(1-'Alaska Base'!$C$19*Inputs!$B$8))*(1-G3)</f>
        <v>1.3003694167969202</v>
      </c>
      <c r="AC3" s="31">
        <f>1-AB3/'Alaska Base'!$C$2</f>
        <v>6.4482433959050178E-2</v>
      </c>
      <c r="AD3" s="30"/>
      <c r="AE3" s="30"/>
      <c r="AF3" s="30"/>
      <c r="AG3" s="35">
        <f>AB3*'Alaska Base'!$C$18*C3/1000</f>
        <v>10420679.84260123</v>
      </c>
      <c r="AH3" s="35">
        <f>MIN(1,MAX(0,Inputs!$B$12*B3/(Inputs!$B$25-Inputs!$B$23)))</f>
        <v>0</v>
      </c>
      <c r="AI3" s="35">
        <f>'Alaska Base'!$C$13*C3*(1-AH3)</f>
        <v>14092.859418181819</v>
      </c>
      <c r="AJ3" s="35">
        <f>'Alaska Base'!$C$14*C3</f>
        <v>6525.702181818182</v>
      </c>
      <c r="AK3" s="35">
        <f>'Alaska Base'!$C$16*C3</f>
        <v>13614.546399999999</v>
      </c>
      <c r="AL3" s="35">
        <f t="shared" si="6"/>
        <v>10454912.950601229</v>
      </c>
      <c r="AM3" s="36">
        <f>Inputs!$B$14</f>
        <v>200</v>
      </c>
      <c r="AN3" s="36">
        <f>IF(A3=Inputs!$B$25,AL3*AM3*Inputs!$B$22,0)</f>
        <v>0</v>
      </c>
      <c r="AO3" s="36">
        <f t="shared" si="7"/>
        <v>71806920.183515549</v>
      </c>
      <c r="AP3" s="31">
        <f t="shared" si="8"/>
        <v>4.9342421858260908E-3</v>
      </c>
    </row>
    <row r="4" spans="1:42" x14ac:dyDescent="0.2">
      <c r="A4" s="34">
        <v>2027</v>
      </c>
      <c r="B4" s="34">
        <v>2</v>
      </c>
      <c r="C4" s="31">
        <f>INDEX('FAA Forecast'!$C$4:$C$19,MATCH(A4,'FAA Forecast'!$A$4:$A$19,0))*(1+Inputs!$B$4)^B4</f>
        <v>1.0464028475782481</v>
      </c>
      <c r="D4" s="31">
        <f>INDEX(EIA_AEO!$E$2:$E$27,MATCH(A4,EIA_AEO!$A$2:$A$27,0))*(1+Inputs!$B$5)^B4</f>
        <v>1.015801918760586</v>
      </c>
      <c r="E4" s="31">
        <f>MIN(1,MAX(0,Inputs!$B$11*B4/(Inputs!$B$25-Inputs!$B$23)))</f>
        <v>0</v>
      </c>
      <c r="F4" s="31">
        <f>1-E4*Inputs!$B$21</f>
        <v>1</v>
      </c>
      <c r="G4" s="31">
        <v>0</v>
      </c>
      <c r="H4" s="35">
        <v>1180523132.6869605</v>
      </c>
      <c r="I4" s="35" cm="1">
        <f t="array" ref="I4">H4*(1-G4)</f>
        <v>1180523132.6869605</v>
      </c>
      <c r="J4" s="31">
        <f>MIN(1,MAX(0,IF(A4&lt;=Inputs!$B$24,'Alaska Base'!$C$19+(Inputs!$B$6-'Alaska Base'!$C$19)*((A4-Inputs!$B$23)/(Inputs!$B$24-Inputs!$B$23)),Inputs!$B$6+(Inputs!$B$7-Inputs!$B$6)*((A4-Inputs!$B$24)/(Inputs!$B$25-Inputs!$B$24)))))</f>
        <v>4.5702169633507858E-2</v>
      </c>
      <c r="K4" s="35">
        <f t="shared" si="9"/>
        <v>53952468.466339573</v>
      </c>
      <c r="L4" s="35">
        <v>630964429.60027623</v>
      </c>
      <c r="M4" s="31">
        <f t="shared" si="10"/>
        <v>8.5507939806557923E-2</v>
      </c>
      <c r="N4" s="35">
        <f t="shared" si="0"/>
        <v>0</v>
      </c>
      <c r="O4" s="31">
        <f t="shared" si="11"/>
        <v>4.5702169633507858E-2</v>
      </c>
      <c r="P4" s="35">
        <f t="shared" si="1"/>
        <v>53952468.466339573</v>
      </c>
      <c r="Q4" s="35">
        <f t="shared" si="2"/>
        <v>1126570664.2206209</v>
      </c>
      <c r="R4" s="29">
        <f>'Alaska Base'!$C$7*INDEX(EIA_AEO!$C$2:$C$27,MATCH(A4,EIA_AEO!$A$2:$A$27,0))</f>
        <v>2.4008773359183819</v>
      </c>
      <c r="S4" s="29">
        <f>R4*(1+Inputs!$B$9)</f>
        <v>4.8017546718367639</v>
      </c>
      <c r="T4" s="29">
        <f>R4*(1+Inputs!$B$9*(1-Inputs!$B$10))</f>
        <v>4.8017546718367639</v>
      </c>
      <c r="U4" s="36">
        <f t="shared" si="12"/>
        <v>2834291233.7954922</v>
      </c>
      <c r="V4" s="36">
        <f t="shared" si="3"/>
        <v>2963824492.5531778</v>
      </c>
      <c r="W4" s="36">
        <f t="shared" si="4"/>
        <v>129533258.75768566</v>
      </c>
      <c r="X4" s="36">
        <f>P4*R4*Inputs!$B$9*Inputs!$B$10</f>
        <v>0</v>
      </c>
      <c r="Y4" s="36">
        <f>'Alaska Base'!$C$8*C4</f>
        <v>14899730146.666674</v>
      </c>
      <c r="Z4" s="31">
        <f t="shared" si="5"/>
        <v>8.6936647498051817E-3</v>
      </c>
      <c r="AA4" s="31">
        <f>1-O4*Inputs!$B$8</f>
        <v>0.96343826429319368</v>
      </c>
      <c r="AB4" s="30">
        <f>'Alaska Base'!$C$3/D4*F4*(AA4/(1-'Alaska Base'!$C$19*Inputs!$B$8))*(1-G4)</f>
        <v>1.2711037893833141</v>
      </c>
      <c r="AC4" s="31">
        <f>1-AB4/'Alaska Base'!$C$2</f>
        <v>8.5536842170277572E-2</v>
      </c>
      <c r="AD4" s="30"/>
      <c r="AE4" s="30"/>
      <c r="AF4" s="30"/>
      <c r="AG4" s="35">
        <f>AB4*'Alaska Base'!$C$18*C4/1000</f>
        <v>10429005.211599071</v>
      </c>
      <c r="AH4" s="35">
        <f>MIN(1,MAX(0,Inputs!$B$12*B4/(Inputs!$B$25-Inputs!$B$23)))</f>
        <v>0</v>
      </c>
      <c r="AI4" s="35">
        <f>'Alaska Base'!$C$13*C4*(1-AH4)</f>
        <v>14428.848865256463</v>
      </c>
      <c r="AJ4" s="35">
        <f>'Alaska Base'!$C$14*C4</f>
        <v>6681.2821817871136</v>
      </c>
      <c r="AK4" s="35">
        <f>'Alaska Base'!$C$16*C4</f>
        <v>13939.132332589843</v>
      </c>
      <c r="AL4" s="35">
        <f t="shared" si="6"/>
        <v>10464054.474978702</v>
      </c>
      <c r="AM4" s="36">
        <f>Inputs!$B$14</f>
        <v>200</v>
      </c>
      <c r="AN4" s="36">
        <f>IF(A4=Inputs!$B$25,AL4*AM4*Inputs!$B$22,0)</f>
        <v>0</v>
      </c>
      <c r="AO4" s="36">
        <f t="shared" si="7"/>
        <v>129533258.75768566</v>
      </c>
      <c r="AP4" s="31">
        <f t="shared" si="8"/>
        <v>8.6936647498051817E-3</v>
      </c>
    </row>
    <row r="5" spans="1:42" x14ac:dyDescent="0.2">
      <c r="A5" s="34">
        <v>2028</v>
      </c>
      <c r="B5" s="34">
        <v>3</v>
      </c>
      <c r="C5" s="31">
        <f>INDEX('FAA Forecast'!$C$4:$C$19,MATCH(A5,'FAA Forecast'!$A$4:$A$19,0))*(1+Inputs!$B$4)^B5</f>
        <v>1.0713502556054337</v>
      </c>
      <c r="D5" s="31">
        <f>INDEX(EIA_AEO!$E$2:$E$27,MATCH(A5,EIA_AEO!$A$2:$A$27,0))*(1+Inputs!$B$5)^B5</f>
        <v>1.0239277634702622</v>
      </c>
      <c r="E5" s="31">
        <f>MIN(1,MAX(0,Inputs!$B$11*B5/(Inputs!$B$25-Inputs!$B$23)))</f>
        <v>0</v>
      </c>
      <c r="F5" s="31">
        <f>1-E5*Inputs!$B$21</f>
        <v>1</v>
      </c>
      <c r="G5" s="31">
        <v>0</v>
      </c>
      <c r="H5" s="35">
        <v>1199076181.6660957</v>
      </c>
      <c r="I5" s="35" cm="1">
        <f t="array" ref="I5">H5*(1-G5)</f>
        <v>1199076181.6660957</v>
      </c>
      <c r="J5" s="31">
        <f>MIN(1,MAX(0,IF(A5&lt;=Inputs!$B$24,'Alaska Base'!$C$19+(Inputs!$B$6-'Alaska Base'!$C$19)*((A5-Inputs!$B$23)/(Inputs!$B$24-Inputs!$B$23)),Inputs!$B$6+(Inputs!$B$7-Inputs!$B$6)*((A5-Inputs!$B$24)/(Inputs!$B$25-Inputs!$B$24)))))</f>
        <v>6.3801446422338579E-2</v>
      </c>
      <c r="K5" s="35">
        <f t="shared" si="9"/>
        <v>76502794.760871723</v>
      </c>
      <c r="L5" s="35">
        <v>934363505.77504802</v>
      </c>
      <c r="M5" s="31">
        <f t="shared" si="10"/>
        <v>8.1876907957158698E-2</v>
      </c>
      <c r="N5" s="35">
        <f t="shared" si="0"/>
        <v>0</v>
      </c>
      <c r="O5" s="31">
        <f t="shared" si="11"/>
        <v>6.3801446422338579E-2</v>
      </c>
      <c r="P5" s="35">
        <f t="shared" si="1"/>
        <v>76502794.760871723</v>
      </c>
      <c r="Q5" s="35">
        <f t="shared" si="2"/>
        <v>1122573386.9052241</v>
      </c>
      <c r="R5" s="29">
        <f>'Alaska Base'!$C$7*INDEX(EIA_AEO!$C$2:$C$27,MATCH(A5,EIA_AEO!$A$2:$A$27,0))</f>
        <v>2.4692259585238614</v>
      </c>
      <c r="S5" s="29">
        <f>R5*(1+Inputs!$B$9)</f>
        <v>4.9384519170477228</v>
      </c>
      <c r="T5" s="29">
        <f>R5*(1+Inputs!$B$9*(1-Inputs!$B$10))</f>
        <v>4.9384519170477228</v>
      </c>
      <c r="U5" s="36">
        <f t="shared" si="12"/>
        <v>2960790034.0175972</v>
      </c>
      <c r="V5" s="36">
        <f t="shared" si="3"/>
        <v>3149692720.7407646</v>
      </c>
      <c r="W5" s="36">
        <f t="shared" si="4"/>
        <v>188902686.72316742</v>
      </c>
      <c r="X5" s="36">
        <f>P5*R5*Inputs!$B$9*Inputs!$B$10</f>
        <v>0</v>
      </c>
      <c r="Y5" s="36">
        <f>'Alaska Base'!$C$8*C5</f>
        <v>15254956289.565771</v>
      </c>
      <c r="Z5" s="31">
        <f t="shared" si="5"/>
        <v>1.2383036905348255E-2</v>
      </c>
      <c r="AA5" s="31">
        <f>1-O5*Inputs!$B$8</f>
        <v>0.94895884286212917</v>
      </c>
      <c r="AB5" s="30">
        <f>'Alaska Base'!$C$3/D5*F5*(AA5/(1-'Alaska Base'!$C$19*Inputs!$B$8))*(1-G5)</f>
        <v>1.2420646725984295</v>
      </c>
      <c r="AC5" s="31">
        <f>1-AB5/'Alaska Base'!$C$2</f>
        <v>0.10642829309465496</v>
      </c>
      <c r="AD5" s="30"/>
      <c r="AE5" s="30"/>
      <c r="AF5" s="30"/>
      <c r="AG5" s="35">
        <f>AB5*'Alaska Base'!$C$18*C5/1000</f>
        <v>10433707.208056478</v>
      </c>
      <c r="AH5" s="35">
        <f>MIN(1,MAX(0,Inputs!$B$12*B5/(Inputs!$B$25-Inputs!$B$23)))</f>
        <v>0</v>
      </c>
      <c r="AI5" s="35">
        <f>'Alaska Base'!$C$13*C5*(1-AH5)</f>
        <v>14772.848674543326</v>
      </c>
      <c r="AJ5" s="35">
        <f>'Alaska Base'!$C$14*C5</f>
        <v>6840.5713820406945</v>
      </c>
      <c r="AK5" s="35">
        <f>'Alaska Base'!$C$16*C5</f>
        <v>14271.456754919982</v>
      </c>
      <c r="AL5" s="35">
        <f t="shared" si="6"/>
        <v>10469592.08486798</v>
      </c>
      <c r="AM5" s="36">
        <f>Inputs!$B$14</f>
        <v>200</v>
      </c>
      <c r="AN5" s="36">
        <f>IF(A5=Inputs!$B$25,AL5*AM5*Inputs!$B$22,0)</f>
        <v>0</v>
      </c>
      <c r="AO5" s="36">
        <f t="shared" si="7"/>
        <v>188902686.72316742</v>
      </c>
      <c r="AP5" s="31">
        <f t="shared" si="8"/>
        <v>1.2383036905348255E-2</v>
      </c>
    </row>
    <row r="6" spans="1:42" x14ac:dyDescent="0.2">
      <c r="A6" s="34">
        <v>2029</v>
      </c>
      <c r="B6" s="34">
        <v>4</v>
      </c>
      <c r="C6" s="31">
        <f>INDEX('FAA Forecast'!$C$4:$C$19,MATCH(A6,'FAA Forecast'!$A$4:$A$19,0))*(1+Inputs!$B$4)^B6</f>
        <v>1.096892437594402</v>
      </c>
      <c r="D6" s="31">
        <f>INDEX(EIA_AEO!$E$2:$E$27,MATCH(A6,EIA_AEO!$A$2:$A$27,0))*(1+Inputs!$B$5)^B6</f>
        <v>1.0317824294695215</v>
      </c>
      <c r="E6" s="31">
        <f>MIN(1,MAX(0,Inputs!$B$11*B6/(Inputs!$B$25-Inputs!$B$23)))</f>
        <v>0</v>
      </c>
      <c r="F6" s="31">
        <f>1-E6*Inputs!$B$21</f>
        <v>1</v>
      </c>
      <c r="G6" s="31">
        <v>0</v>
      </c>
      <c r="H6" s="35">
        <v>1218317639.0486472</v>
      </c>
      <c r="I6" s="35" cm="1">
        <f t="array" ref="I6">H6*(1-G6)</f>
        <v>1218317639.0486472</v>
      </c>
      <c r="J6" s="31">
        <f>MIN(1,MAX(0,IF(A6&lt;=Inputs!$B$24,'Alaska Base'!$C$19+(Inputs!$B$6-'Alaska Base'!$C$19)*((A6-Inputs!$B$23)/(Inputs!$B$24-Inputs!$B$23)),Inputs!$B$6+(Inputs!$B$7-Inputs!$B$6)*((A6-Inputs!$B$24)/(Inputs!$B$25-Inputs!$B$24)))))</f>
        <v>8.1900723211169285E-2</v>
      </c>
      <c r="K6" s="35">
        <f t="shared" si="9"/>
        <v>99781095.739008501</v>
      </c>
      <c r="L6" s="35">
        <v>1383651946.0808864</v>
      </c>
      <c r="M6" s="31">
        <f t="shared" si="10"/>
        <v>7.2114303038153957E-2</v>
      </c>
      <c r="N6" s="35">
        <f t="shared" si="0"/>
        <v>0</v>
      </c>
      <c r="O6" s="31">
        <f t="shared" si="11"/>
        <v>8.1900723211169285E-2</v>
      </c>
      <c r="P6" s="35">
        <f t="shared" si="1"/>
        <v>99781095.739008501</v>
      </c>
      <c r="Q6" s="35">
        <f t="shared" si="2"/>
        <v>1118536543.3096387</v>
      </c>
      <c r="R6" s="29">
        <f>'Alaska Base'!$C$7*INDEX(EIA_AEO!$C$2:$C$27,MATCH(A6,EIA_AEO!$A$2:$A$27,0))</f>
        <v>2.5288682955096164</v>
      </c>
      <c r="S6" s="29">
        <f>R6*(1+Inputs!$B$9)</f>
        <v>5.0577365910192329</v>
      </c>
      <c r="T6" s="29">
        <f>R6*(1+Inputs!$B$9*(1-Inputs!$B$10))</f>
        <v>5.0577365910192329</v>
      </c>
      <c r="U6" s="36">
        <f t="shared" si="12"/>
        <v>3080964851.2502527</v>
      </c>
      <c r="V6" s="36">
        <f t="shared" si="3"/>
        <v>3333298100.7558408</v>
      </c>
      <c r="W6" s="36">
        <f t="shared" si="4"/>
        <v>252333249.50558805</v>
      </c>
      <c r="X6" s="36">
        <f>P6*R6*Inputs!$B$9*Inputs!$B$10</f>
        <v>0</v>
      </c>
      <c r="Y6" s="36">
        <f>'Alaska Base'!$C$8*C6</f>
        <v>15618651418.906691</v>
      </c>
      <c r="Z6" s="31">
        <f t="shared" si="5"/>
        <v>1.6155892255853382E-2</v>
      </c>
      <c r="AA6" s="31">
        <f>1-O6*Inputs!$B$8</f>
        <v>0.93447942143106455</v>
      </c>
      <c r="AB6" s="30">
        <f>'Alaska Base'!$C$3/D6*F6*(AA6/(1-'Alaska Base'!$C$19*Inputs!$B$8))*(1-G6)</f>
        <v>1.21380176733843</v>
      </c>
      <c r="AC6" s="31">
        <f>1-AB6/'Alaska Base'!$C$2</f>
        <v>0.12676131846156102</v>
      </c>
      <c r="AD6" s="30"/>
      <c r="AE6" s="30"/>
      <c r="AF6" s="30"/>
      <c r="AG6" s="35">
        <f>AB6*'Alaska Base'!$C$18*C6/1000</f>
        <v>10439381.431676617</v>
      </c>
      <c r="AH6" s="35">
        <f>MIN(1,MAX(0,Inputs!$B$12*B6/(Inputs!$B$25-Inputs!$B$23)))</f>
        <v>0</v>
      </c>
      <c r="AI6" s="35">
        <f>'Alaska Base'!$C$13*C6*(1-AH6)</f>
        <v>15125.049821989209</v>
      </c>
      <c r="AJ6" s="35">
        <f>'Alaska Base'!$C$14*C6</f>
        <v>7003.658214040257</v>
      </c>
      <c r="AK6" s="35">
        <f>'Alaska Base'!$C$16*C6</f>
        <v>14611.70416119503</v>
      </c>
      <c r="AL6" s="35">
        <f t="shared" si="6"/>
        <v>10476121.843873842</v>
      </c>
      <c r="AM6" s="36">
        <f>Inputs!$B$14</f>
        <v>200</v>
      </c>
      <c r="AN6" s="36">
        <f>IF(A6=Inputs!$B$25,AL6*AM6*Inputs!$B$22,0)</f>
        <v>0</v>
      </c>
      <c r="AO6" s="36">
        <f t="shared" si="7"/>
        <v>252333249.50558805</v>
      </c>
      <c r="AP6" s="31">
        <f t="shared" si="8"/>
        <v>1.6155892255853382E-2</v>
      </c>
    </row>
    <row r="7" spans="1:42" x14ac:dyDescent="0.2">
      <c r="A7" s="34">
        <v>2030</v>
      </c>
      <c r="B7" s="34">
        <v>5</v>
      </c>
      <c r="C7" s="31">
        <f>INDEX('FAA Forecast'!$C$4:$C$19,MATCH(A7,'FAA Forecast'!$A$4:$A$19,0))*(1+Inputs!$B$4)^B7</f>
        <v>1.1230435736180981</v>
      </c>
      <c r="D7" s="31">
        <f>INDEX(EIA_AEO!$E$2:$E$27,MATCH(A7,EIA_AEO!$A$2:$A$27,0))*(1+Inputs!$B$5)^B7</f>
        <v>1.0397555638329248</v>
      </c>
      <c r="E7" s="31">
        <f>MIN(1,MAX(0,Inputs!$B$11*B7/(Inputs!$B$25-Inputs!$B$23)))</f>
        <v>0</v>
      </c>
      <c r="F7" s="31">
        <f>1-E7*Inputs!$B$21</f>
        <v>1</v>
      </c>
      <c r="G7" s="31">
        <v>0</v>
      </c>
      <c r="H7" s="35">
        <v>1237798555.8662958</v>
      </c>
      <c r="I7" s="35" cm="1">
        <f t="array" ref="I7">H7*(1-G7)</f>
        <v>1237798555.8662958</v>
      </c>
      <c r="J7" s="31">
        <f>MIN(1,MAX(0,IF(A7&lt;=Inputs!$B$24,'Alaska Base'!$C$19+(Inputs!$B$6-'Alaska Base'!$C$19)*((A7-Inputs!$B$23)/(Inputs!$B$24-Inputs!$B$23)),Inputs!$B$6+(Inputs!$B$7-Inputs!$B$6)*((A7-Inputs!$B$24)/(Inputs!$B$25-Inputs!$B$24)))))</f>
        <v>0.1</v>
      </c>
      <c r="K7" s="35">
        <f t="shared" si="9"/>
        <v>123779855.58662958</v>
      </c>
      <c r="L7" s="35">
        <v>2048980612</v>
      </c>
      <c r="M7" s="31">
        <f t="shared" si="10"/>
        <v>6.0410457210626642E-2</v>
      </c>
      <c r="N7" s="35">
        <f t="shared" si="0"/>
        <v>0</v>
      </c>
      <c r="O7" s="31">
        <f t="shared" si="11"/>
        <v>0.1</v>
      </c>
      <c r="P7" s="35">
        <f t="shared" si="1"/>
        <v>123779855.58662958</v>
      </c>
      <c r="Q7" s="35">
        <f t="shared" si="2"/>
        <v>1114018700.2796662</v>
      </c>
      <c r="R7" s="29">
        <f>'Alaska Base'!$C$7*INDEX(EIA_AEO!$C$2:$C$27,MATCH(A7,EIA_AEO!$A$2:$A$27,0))</f>
        <v>2.5419344261688082</v>
      </c>
      <c r="S7" s="29">
        <f>R7*(1+Inputs!$B$9)</f>
        <v>5.0838688523376163</v>
      </c>
      <c r="T7" s="29">
        <f>R7*(1+Inputs!$B$9*(1-Inputs!$B$10))</f>
        <v>5.0838688523376163</v>
      </c>
      <c r="U7" s="36">
        <f t="shared" si="12"/>
        <v>3146402761.818572</v>
      </c>
      <c r="V7" s="36">
        <f t="shared" si="3"/>
        <v>3461043038.0004292</v>
      </c>
      <c r="W7" s="36">
        <f t="shared" si="4"/>
        <v>314640276.18185711</v>
      </c>
      <c r="X7" s="36">
        <f>P7*R7*Inputs!$B$9*Inputs!$B$10</f>
        <v>0</v>
      </c>
      <c r="Y7" s="36">
        <f>'Alaska Base'!$C$8*C7</f>
        <v>15991017444.7481</v>
      </c>
      <c r="Z7" s="31">
        <f t="shared" si="5"/>
        <v>1.9676063594389601E-2</v>
      </c>
      <c r="AA7" s="31">
        <f>1-O7*Inputs!$B$8</f>
        <v>0.91999999999999993</v>
      </c>
      <c r="AB7" s="30">
        <f>'Alaska Base'!$C$3/D7*F7*(AA7/(1-'Alaska Base'!$C$19*Inputs!$B$8))*(1-G7)</f>
        <v>1.1858307984939795</v>
      </c>
      <c r="AC7" s="31">
        <f>1-AB7/'Alaska Base'!$C$2</f>
        <v>0.14688431763023047</v>
      </c>
      <c r="AD7" s="30">
        <f>'Alaska Base'!$C$2*(1-10%)</f>
        <v>1.2509999999999999</v>
      </c>
      <c r="AE7" s="30">
        <f>'Alaska Base'!$C$2*(1-14%)</f>
        <v>1.1953999999999998</v>
      </c>
      <c r="AF7" s="30"/>
      <c r="AG7" s="35">
        <f>AB7*'Alaska Base'!$C$18*C7/1000</f>
        <v>10441966.38877606</v>
      </c>
      <c r="AH7" s="35">
        <f>MIN(1,MAX(0,Inputs!$B$12*B7/(Inputs!$B$25-Inputs!$B$23)))</f>
        <v>0</v>
      </c>
      <c r="AI7" s="35">
        <f>'Alaska Base'!$C$13*C7*(1-AH7)</f>
        <v>15485.647836619955</v>
      </c>
      <c r="AJ7" s="35">
        <f>'Alaska Base'!$C$14*C7</f>
        <v>7170.6332175515563</v>
      </c>
      <c r="AK7" s="35">
        <f>'Alaska Base'!$C$16*C7</f>
        <v>14960.063444166686</v>
      </c>
      <c r="AL7" s="35">
        <f t="shared" si="6"/>
        <v>10479582.733274398</v>
      </c>
      <c r="AM7" s="36">
        <f>Inputs!$B$14</f>
        <v>200</v>
      </c>
      <c r="AN7" s="36">
        <f>IF(A7=Inputs!$B$25,AL7*AM7*Inputs!$B$22,0)</f>
        <v>0</v>
      </c>
      <c r="AO7" s="36">
        <f t="shared" si="7"/>
        <v>314640276.18185711</v>
      </c>
      <c r="AP7" s="31">
        <f t="shared" si="8"/>
        <v>1.9676063594389601E-2</v>
      </c>
    </row>
    <row r="8" spans="1:42" x14ac:dyDescent="0.2">
      <c r="A8" s="34">
        <v>2031</v>
      </c>
      <c r="B8" s="34">
        <v>6</v>
      </c>
      <c r="C8" s="31">
        <f>INDEX('FAA Forecast'!$C$4:$C$19,MATCH(A8,'FAA Forecast'!$A$4:$A$19,0))*(1+Inputs!$B$4)^B8</f>
        <v>1.1498181818181821</v>
      </c>
      <c r="D8" s="31">
        <f>INDEX(EIA_AEO!$E$2:$E$27,MATCH(A8,EIA_AEO!$A$2:$A$27,0))*(1+Inputs!$B$5)^B8</f>
        <v>1.0479230325624351</v>
      </c>
      <c r="E8" s="31">
        <f>MIN(1,MAX(0,Inputs!$B$11*B8/(Inputs!$B$25-Inputs!$B$23)))</f>
        <v>0</v>
      </c>
      <c r="F8" s="31">
        <f>1-E8*Inputs!$B$21</f>
        <v>1</v>
      </c>
      <c r="G8" s="31">
        <v>0</v>
      </c>
      <c r="H8" s="35">
        <v>1257431696.2397034</v>
      </c>
      <c r="I8" s="35" cm="1">
        <f t="array" ref="I8">H8*(1-G8)</f>
        <v>1257431696.2397034</v>
      </c>
      <c r="J8" s="31">
        <f>MIN(1,MAX(0,IF(A8&lt;=Inputs!$B$24,'Alaska Base'!$C$19+(Inputs!$B$6-'Alaska Base'!$C$19)*((A8-Inputs!$B$23)/(Inputs!$B$24-Inputs!$B$23)),Inputs!$B$6+(Inputs!$B$7-Inputs!$B$6)*((A8-Inputs!$B$24)/(Inputs!$B$25-Inputs!$B$24)))))</f>
        <v>0.15000000000000002</v>
      </c>
      <c r="K8" s="35">
        <f t="shared" si="9"/>
        <v>188614754.43595555</v>
      </c>
      <c r="L8" s="35">
        <v>2198312504.9700179</v>
      </c>
      <c r="M8" s="31">
        <f t="shared" si="10"/>
        <v>8.5799791435261841E-2</v>
      </c>
      <c r="N8" s="35">
        <f t="shared" si="0"/>
        <v>0</v>
      </c>
      <c r="O8" s="31">
        <f t="shared" si="11"/>
        <v>0.15000000000000002</v>
      </c>
      <c r="P8" s="35">
        <f t="shared" si="1"/>
        <v>188614754.43595555</v>
      </c>
      <c r="Q8" s="35">
        <f t="shared" si="2"/>
        <v>1068816941.8037479</v>
      </c>
      <c r="R8" s="29">
        <f>'Alaska Base'!$C$7*INDEX(EIA_AEO!$C$2:$C$27,MATCH(A8,EIA_AEO!$A$2:$A$27,0))</f>
        <v>2.5219272878047403</v>
      </c>
      <c r="S8" s="29">
        <f>R8*(1+Inputs!$B$9)</f>
        <v>5.0438545756094806</v>
      </c>
      <c r="T8" s="29">
        <f>R8*(1+Inputs!$B$9*(1-Inputs!$B$10))</f>
        <v>5.0438545756094806</v>
      </c>
      <c r="U8" s="36">
        <f t="shared" si="12"/>
        <v>3171151307.2975092</v>
      </c>
      <c r="V8" s="36">
        <f t="shared" si="3"/>
        <v>3646824003.3921356</v>
      </c>
      <c r="W8" s="36">
        <f t="shared" si="4"/>
        <v>475672696.09462643</v>
      </c>
      <c r="X8" s="36">
        <f>P8*R8*Inputs!$B$9*Inputs!$B$10</f>
        <v>0</v>
      </c>
      <c r="Y8" s="36">
        <f>'Alaska Base'!$C$8*C8</f>
        <v>16372261090.909094</v>
      </c>
      <c r="Z8" s="31">
        <f t="shared" si="5"/>
        <v>2.9053573813255993E-2</v>
      </c>
      <c r="AA8" s="31">
        <f>1-O8*Inputs!$B$8</f>
        <v>0.88</v>
      </c>
      <c r="AB8" s="30">
        <f>'Alaska Base'!$C$3/D8*F8*(AA8/(1-'Alaska Base'!$C$19*Inputs!$B$8))*(1-G8)</f>
        <v>1.1254324613748929</v>
      </c>
      <c r="AC8" s="31">
        <f>1-AB8/'Alaska Base'!$C$2</f>
        <v>0.19033635872309851</v>
      </c>
      <c r="AD8" s="30"/>
      <c r="AE8" s="30"/>
      <c r="AF8" s="30"/>
      <c r="AG8" s="35">
        <f>AB8*'Alaska Base'!$C$18*C8/1000</f>
        <v>10146390.376898907</v>
      </c>
      <c r="AH8" s="35">
        <f>MIN(1,MAX(0,Inputs!$B$12*B8/(Inputs!$B$25-Inputs!$B$23)))</f>
        <v>0</v>
      </c>
      <c r="AI8" s="35">
        <f>'Alaska Base'!$C$13*C8*(1-AH8)</f>
        <v>15854.842909090912</v>
      </c>
      <c r="AJ8" s="35">
        <f>'Alaska Base'!$C$14*C8</f>
        <v>7341.5890909090922</v>
      </c>
      <c r="AK8" s="35">
        <f>'Alaska Base'!$C$16*C8</f>
        <v>15316.728000000003</v>
      </c>
      <c r="AL8" s="35">
        <f t="shared" si="6"/>
        <v>10184903.536898907</v>
      </c>
      <c r="AM8" s="36">
        <f>Inputs!$B$14</f>
        <v>200</v>
      </c>
      <c r="AN8" s="36">
        <f>IF(A8=Inputs!$B$25,AL8*AM8*Inputs!$B$22,0)</f>
        <v>0</v>
      </c>
      <c r="AO8" s="36">
        <f t="shared" si="7"/>
        <v>475672696.09462643</v>
      </c>
      <c r="AP8" s="31">
        <f t="shared" si="8"/>
        <v>2.9053573813255993E-2</v>
      </c>
    </row>
    <row r="9" spans="1:42" x14ac:dyDescent="0.2">
      <c r="A9" s="34">
        <v>2032</v>
      </c>
      <c r="B9" s="34">
        <v>7</v>
      </c>
      <c r="C9" s="31">
        <f>INDEX('FAA Forecast'!$C$4:$C$19,MATCH(A9,'FAA Forecast'!$A$4:$A$19,0))*(1+Inputs!$B$4)^B9</f>
        <v>1.1821970688463439</v>
      </c>
      <c r="D9" s="31">
        <f>INDEX(EIA_AEO!$E$2:$E$27,MATCH(A9,EIA_AEO!$A$2:$A$27,0))*(1+Inputs!$B$5)^B9</f>
        <v>1.0566927154763441</v>
      </c>
      <c r="E9" s="31">
        <f>MIN(1,MAX(0,Inputs!$B$11*B9/(Inputs!$B$25-Inputs!$B$23)))</f>
        <v>0</v>
      </c>
      <c r="F9" s="31">
        <f>1-E9*Inputs!$B$21</f>
        <v>1</v>
      </c>
      <c r="G9" s="31">
        <v>0</v>
      </c>
      <c r="H9" s="35">
        <v>1282111460.6503024</v>
      </c>
      <c r="I9" s="35" cm="1">
        <f t="array" ref="I9">H9*(1-G9)</f>
        <v>1282111460.6503024</v>
      </c>
      <c r="J9" s="31">
        <f>MIN(1,MAX(0,IF(A9&lt;=Inputs!$B$24,'Alaska Base'!$C$19+(Inputs!$B$6-'Alaska Base'!$C$19)*((A9-Inputs!$B$23)/(Inputs!$B$24-Inputs!$B$23)),Inputs!$B$6+(Inputs!$B$7-Inputs!$B$6)*((A9-Inputs!$B$24)/(Inputs!$B$25-Inputs!$B$24)))))</f>
        <v>0.2</v>
      </c>
      <c r="K9" s="35">
        <f t="shared" si="9"/>
        <v>256422292.13006049</v>
      </c>
      <c r="L9" s="35">
        <v>2358527865.6153307</v>
      </c>
      <c r="M9" s="31">
        <f t="shared" si="10"/>
        <v>0.10872133243300092</v>
      </c>
      <c r="N9" s="35">
        <f t="shared" si="0"/>
        <v>0</v>
      </c>
      <c r="O9" s="31">
        <f t="shared" si="11"/>
        <v>0.2</v>
      </c>
      <c r="P9" s="35">
        <f t="shared" si="1"/>
        <v>256422292.13006049</v>
      </c>
      <c r="Q9" s="35">
        <f t="shared" si="2"/>
        <v>1025689168.520242</v>
      </c>
      <c r="R9" s="29">
        <f>'Alaska Base'!$C$7*INDEX(EIA_AEO!$C$2:$C$27,MATCH(A9,EIA_AEO!$A$2:$A$27,0))</f>
        <v>2.5264374415134783</v>
      </c>
      <c r="S9" s="29">
        <f>R9*(1+Inputs!$B$9)</f>
        <v>5.0528748830269565</v>
      </c>
      <c r="T9" s="29">
        <f>R9*(1+Inputs!$B$9*(1-Inputs!$B$10))</f>
        <v>5.0528748830269565</v>
      </c>
      <c r="U9" s="36">
        <f t="shared" si="12"/>
        <v>3239174398.3804584</v>
      </c>
      <c r="V9" s="36">
        <f t="shared" si="3"/>
        <v>3887009278.056551</v>
      </c>
      <c r="W9" s="36">
        <f t="shared" si="4"/>
        <v>647834879.67609262</v>
      </c>
      <c r="X9" s="36">
        <f>P9*R9*Inputs!$B$9*Inputs!$B$10</f>
        <v>0</v>
      </c>
      <c r="Y9" s="36">
        <f>'Alaska Base'!$C$8*C9</f>
        <v>16833304063.303091</v>
      </c>
      <c r="Z9" s="31">
        <f t="shared" si="5"/>
        <v>3.8485307295576303E-2</v>
      </c>
      <c r="AA9" s="31">
        <f>1-O9*Inputs!$B$8</f>
        <v>0.84</v>
      </c>
      <c r="AB9" s="30">
        <f>'Alaska Base'!$C$3/D9*F9*(AA9/(1-'Alaska Base'!$C$19*Inputs!$B$8))*(1-G9)</f>
        <v>1.0653608269934303</v>
      </c>
      <c r="AC9" s="31">
        <f>1-AB9/'Alaska Base'!$C$2</f>
        <v>0.23355336187523001</v>
      </c>
      <c r="AD9" s="30"/>
      <c r="AE9" s="30"/>
      <c r="AF9" s="30"/>
      <c r="AG9" s="35">
        <f>AB9*'Alaska Base'!$C$18*C9/1000</f>
        <v>9875283.2291004006</v>
      </c>
      <c r="AH9" s="35">
        <f>MIN(1,MAX(0,Inputs!$B$12*B9/(Inputs!$B$25-Inputs!$B$23)))</f>
        <v>0</v>
      </c>
      <c r="AI9" s="35">
        <f>'Alaska Base'!$C$13*C9*(1-AH9)</f>
        <v>16301.315382322236</v>
      </c>
      <c r="AJ9" s="35">
        <f>'Alaska Base'!$C$14*C9</f>
        <v>7548.3282845839058</v>
      </c>
      <c r="AK9" s="35">
        <f>'Alaska Base'!$C$16*C9</f>
        <v>15748.047154102147</v>
      </c>
      <c r="AL9" s="35">
        <f t="shared" si="6"/>
        <v>9914880.9199214093</v>
      </c>
      <c r="AM9" s="36">
        <f>Inputs!$B$14</f>
        <v>200</v>
      </c>
      <c r="AN9" s="36">
        <f>IF(A9=Inputs!$B$25,AL9*AM9*Inputs!$B$22,0)</f>
        <v>0</v>
      </c>
      <c r="AO9" s="36">
        <f t="shared" si="7"/>
        <v>647834879.67609262</v>
      </c>
      <c r="AP9" s="31">
        <f t="shared" si="8"/>
        <v>3.8485307295576303E-2</v>
      </c>
    </row>
    <row r="10" spans="1:42" x14ac:dyDescent="0.2">
      <c r="A10" s="34">
        <v>2033</v>
      </c>
      <c r="B10" s="34">
        <v>8</v>
      </c>
      <c r="C10" s="31">
        <f>INDEX('FAA Forecast'!$C$4:$C$19,MATCH(A10,'FAA Forecast'!$A$4:$A$19,0))*(1+Inputs!$B$4)^B10</f>
        <v>1.2154877455311317</v>
      </c>
      <c r="D10" s="31">
        <f>INDEX(EIA_AEO!$E$2:$E$27,MATCH(A10,EIA_AEO!$A$2:$A$27,0))*(1+Inputs!$B$5)^B10</f>
        <v>1.0655600547444801</v>
      </c>
      <c r="E10" s="31">
        <f>MIN(1,MAX(0,Inputs!$B$11*B10/(Inputs!$B$25-Inputs!$B$23)))</f>
        <v>0</v>
      </c>
      <c r="F10" s="31">
        <f>1-E10*Inputs!$B$21</f>
        <v>1</v>
      </c>
      <c r="G10" s="31">
        <v>0</v>
      </c>
      <c r="H10" s="35">
        <v>1307245847.0796413</v>
      </c>
      <c r="I10" s="35" cm="1">
        <f t="array" ref="I10">H10*(1-G10)</f>
        <v>1307245847.0796413</v>
      </c>
      <c r="J10" s="31">
        <f>MIN(1,MAX(0,IF(A10&lt;=Inputs!$B$24,'Alaska Base'!$C$19+(Inputs!$B$6-'Alaska Base'!$C$19)*((A10-Inputs!$B$23)/(Inputs!$B$24-Inputs!$B$23)),Inputs!$B$6+(Inputs!$B$7-Inputs!$B$6)*((A10-Inputs!$B$24)/(Inputs!$B$25-Inputs!$B$24)))))</f>
        <v>0.25</v>
      </c>
      <c r="K10" s="35">
        <f t="shared" si="9"/>
        <v>326811461.76991034</v>
      </c>
      <c r="L10" s="35">
        <v>2530419892.6712089</v>
      </c>
      <c r="M10" s="31">
        <f t="shared" si="10"/>
        <v>0.12915305586888806</v>
      </c>
      <c r="N10" s="35">
        <f t="shared" si="0"/>
        <v>0</v>
      </c>
      <c r="O10" s="31">
        <f t="shared" si="11"/>
        <v>0.25</v>
      </c>
      <c r="P10" s="35">
        <f t="shared" si="1"/>
        <v>326811461.76991034</v>
      </c>
      <c r="Q10" s="35">
        <f t="shared" si="2"/>
        <v>980434385.30973101</v>
      </c>
      <c r="R10" s="29">
        <f>'Alaska Base'!$C$7*INDEX(EIA_AEO!$C$2:$C$27,MATCH(A10,EIA_AEO!$A$2:$A$27,0))</f>
        <v>2.5946062656394258</v>
      </c>
      <c r="S10" s="29">
        <f>R10*(1+Inputs!$B$9)</f>
        <v>5.1892125312788515</v>
      </c>
      <c r="T10" s="29">
        <f>R10*(1+Inputs!$B$9*(1-Inputs!$B$10))</f>
        <v>5.1892125312788515</v>
      </c>
      <c r="U10" s="36">
        <f t="shared" si="12"/>
        <v>3391788265.5639563</v>
      </c>
      <c r="V10" s="36">
        <f t="shared" si="3"/>
        <v>4239735331.9549451</v>
      </c>
      <c r="W10" s="36">
        <f t="shared" si="4"/>
        <v>847947066.39098883</v>
      </c>
      <c r="X10" s="36">
        <f>P10*R10*Inputs!$B$9*Inputs!$B$10</f>
        <v>0</v>
      </c>
      <c r="Y10" s="36">
        <f>'Alaska Base'!$C$8*C10</f>
        <v>17307330008.617783</v>
      </c>
      <c r="Z10" s="31">
        <f t="shared" si="5"/>
        <v>4.8993522742605204E-2</v>
      </c>
      <c r="AA10" s="31">
        <f>1-O10*Inputs!$B$8</f>
        <v>0.8</v>
      </c>
      <c r="AB10" s="30">
        <f>'Alaska Base'!$C$3/D10*F10*(AA10/(1-'Alaska Base'!$C$19*Inputs!$B$8))*(1-G10)</f>
        <v>1.0061858530015373</v>
      </c>
      <c r="AC10" s="31">
        <f>1-AB10/'Alaska Base'!$C$2</f>
        <v>0.27612528561040472</v>
      </c>
      <c r="AD10" s="30"/>
      <c r="AE10" s="30"/>
      <c r="AF10" s="30"/>
      <c r="AG10" s="35">
        <f>AB10*'Alaska Base'!$C$18*C10/1000</f>
        <v>9589406.9581490085</v>
      </c>
      <c r="AH10" s="35">
        <f>MIN(1,MAX(0,Inputs!$B$12*B10/(Inputs!$B$25-Inputs!$B$23)))</f>
        <v>0</v>
      </c>
      <c r="AI10" s="35">
        <f>'Alaska Base'!$C$13*C10*(1-AH10)</f>
        <v>16760.360523128777</v>
      </c>
      <c r="AJ10" s="35">
        <f>'Alaska Base'!$C$14*C10</f>
        <v>7760.8892552162761</v>
      </c>
      <c r="AK10" s="35">
        <f>'Alaska Base'!$C$16*C10</f>
        <v>16191.512258220206</v>
      </c>
      <c r="AL10" s="35">
        <f t="shared" si="6"/>
        <v>9630119.7201855741</v>
      </c>
      <c r="AM10" s="36">
        <f>Inputs!$B$14</f>
        <v>200</v>
      </c>
      <c r="AN10" s="36">
        <f>IF(A10=Inputs!$B$25,AL10*AM10*Inputs!$B$22,0)</f>
        <v>0</v>
      </c>
      <c r="AO10" s="36">
        <f t="shared" si="7"/>
        <v>847947066.39098883</v>
      </c>
      <c r="AP10" s="31">
        <f t="shared" si="8"/>
        <v>4.8993522742605204E-2</v>
      </c>
    </row>
    <row r="11" spans="1:42" x14ac:dyDescent="0.2">
      <c r="A11" s="34">
        <v>2034</v>
      </c>
      <c r="B11" s="34">
        <v>9</v>
      </c>
      <c r="C11" s="31">
        <f>INDEX('FAA Forecast'!$C$4:$C$19,MATCH(A11,'FAA Forecast'!$A$4:$A$19,0))*(1+Inputs!$B$4)^B11</f>
        <v>1.2497158878748498</v>
      </c>
      <c r="D11" s="31">
        <f>INDEX(EIA_AEO!$E$2:$E$27,MATCH(A11,EIA_AEO!$A$2:$A$27,0))*(1+Inputs!$B$5)^B11</f>
        <v>1.0744024018126728</v>
      </c>
      <c r="E11" s="31">
        <f>MIN(1,MAX(0,Inputs!$B$11*B11/(Inputs!$B$25-Inputs!$B$23)))</f>
        <v>0</v>
      </c>
      <c r="F11" s="31">
        <f>1-E11*Inputs!$B$21</f>
        <v>1</v>
      </c>
      <c r="G11" s="31">
        <v>0</v>
      </c>
      <c r="H11" s="35">
        <v>1332996282.4806533</v>
      </c>
      <c r="I11" s="35" cm="1">
        <f t="array" ref="I11">H11*(1-G11)</f>
        <v>1332996282.4806533</v>
      </c>
      <c r="J11" s="31">
        <f>MIN(1,MAX(0,IF(A11&lt;=Inputs!$B$24,'Alaska Base'!$C$19+(Inputs!$B$6-'Alaska Base'!$C$19)*((A11-Inputs!$B$23)/(Inputs!$B$24-Inputs!$B$23)),Inputs!$B$6+(Inputs!$B$7-Inputs!$B$6)*((A11-Inputs!$B$24)/(Inputs!$B$25-Inputs!$B$24)))))</f>
        <v>0.30000000000000004</v>
      </c>
      <c r="K11" s="35">
        <f t="shared" si="9"/>
        <v>399898884.74419606</v>
      </c>
      <c r="L11" s="35">
        <v>2714839594.0429754</v>
      </c>
      <c r="M11" s="31">
        <f t="shared" si="10"/>
        <v>0.14730110965733387</v>
      </c>
      <c r="N11" s="35">
        <f t="shared" si="0"/>
        <v>0</v>
      </c>
      <c r="O11" s="31">
        <f t="shared" si="11"/>
        <v>0.30000000000000004</v>
      </c>
      <c r="P11" s="35">
        <f t="shared" si="1"/>
        <v>399898884.74419606</v>
      </c>
      <c r="Q11" s="35">
        <f t="shared" si="2"/>
        <v>933097397.73645723</v>
      </c>
      <c r="R11" s="29">
        <f>'Alaska Base'!$C$7*INDEX(EIA_AEO!$C$2:$C$27,MATCH(A11,EIA_AEO!$A$2:$A$27,0))</f>
        <v>2.6880358825090069</v>
      </c>
      <c r="S11" s="29">
        <f>R11*(1+Inputs!$B$9)</f>
        <v>5.3760717650180139</v>
      </c>
      <c r="T11" s="29">
        <f>R11*(1+Inputs!$B$9*(1-Inputs!$B$10))</f>
        <v>5.3760717650180139</v>
      </c>
      <c r="U11" s="36">
        <f t="shared" si="12"/>
        <v>3583141838.5591083</v>
      </c>
      <c r="V11" s="36">
        <f t="shared" si="3"/>
        <v>4658084390.1268406</v>
      </c>
      <c r="W11" s="36">
        <f t="shared" si="4"/>
        <v>1074942551.5677323</v>
      </c>
      <c r="X11" s="36">
        <f>P11*R11*Inputs!$B$9*Inputs!$B$10</f>
        <v>0</v>
      </c>
      <c r="Y11" s="36">
        <f>'Alaska Base'!$C$8*C11</f>
        <v>17794704527.449986</v>
      </c>
      <c r="Z11" s="31">
        <f t="shared" si="5"/>
        <v>6.0408002274470678E-2</v>
      </c>
      <c r="AA11" s="31">
        <f>1-O11*Inputs!$B$8</f>
        <v>0.76</v>
      </c>
      <c r="AB11" s="30">
        <f>'Alaska Base'!$C$3/D11*F11*(AA11/(1-'Alaska Base'!$C$19*Inputs!$B$8))*(1-G11)</f>
        <v>0.94800968264649832</v>
      </c>
      <c r="AC11" s="31">
        <f>1-AB11/'Alaska Base'!$C$2</f>
        <v>0.31797864557805866</v>
      </c>
      <c r="AD11" s="30"/>
      <c r="AE11" s="30"/>
      <c r="AF11" s="30"/>
      <c r="AG11" s="35">
        <f>AB11*'Alaska Base'!$C$18*C11/1000</f>
        <v>9289386.2789579611</v>
      </c>
      <c r="AH11" s="35">
        <f>MIN(1,MAX(0,Inputs!$B$12*B11/(Inputs!$B$25-Inputs!$B$23)))</f>
        <v>0</v>
      </c>
      <c r="AI11" s="35">
        <f>'Alaska Base'!$C$13*C11*(1-AH11)</f>
        <v>17232.332377906303</v>
      </c>
      <c r="AJ11" s="35">
        <f>'Alaska Base'!$C$14*C11</f>
        <v>7979.4359440809158</v>
      </c>
      <c r="AK11" s="35">
        <f>'Alaska Base'!$C$16*C11</f>
        <v>16647.465342380874</v>
      </c>
      <c r="AL11" s="35">
        <f t="shared" si="6"/>
        <v>9331245.5126223285</v>
      </c>
      <c r="AM11" s="36">
        <f>Inputs!$B$14</f>
        <v>200</v>
      </c>
      <c r="AN11" s="36">
        <f>IF(A11=Inputs!$B$25,AL11*AM11*Inputs!$B$22,0)</f>
        <v>0</v>
      </c>
      <c r="AO11" s="36">
        <f t="shared" si="7"/>
        <v>1074942551.5677323</v>
      </c>
      <c r="AP11" s="31">
        <f t="shared" si="8"/>
        <v>6.0408002274470678E-2</v>
      </c>
    </row>
    <row r="12" spans="1:42" x14ac:dyDescent="0.2">
      <c r="A12" s="34">
        <v>2035</v>
      </c>
      <c r="B12" s="34">
        <v>10</v>
      </c>
      <c r="C12" s="31">
        <f>INDEX('FAA Forecast'!$C$4:$C$19,MATCH(A12,'FAA Forecast'!$A$4:$A$19,0))*(1+Inputs!$B$4)^B12</f>
        <v>1.2849078949161836</v>
      </c>
      <c r="D12" s="31">
        <f>INDEX(EIA_AEO!$E$2:$E$27,MATCH(A12,EIA_AEO!$A$2:$A$27,0))*(1+Inputs!$B$5)^B12</f>
        <v>1.0832658277114224</v>
      </c>
      <c r="E12" s="31">
        <f>MIN(1,MAX(0,Inputs!$B$11*B12/(Inputs!$B$25-Inputs!$B$23)))</f>
        <v>0</v>
      </c>
      <c r="F12" s="31">
        <f>1-E12*Inputs!$B$21</f>
        <v>1</v>
      </c>
      <c r="G12" s="31">
        <v>0</v>
      </c>
      <c r="H12" s="35">
        <v>1359319577.8037739</v>
      </c>
      <c r="I12" s="35" cm="1">
        <f t="array" ref="I12">H12*(1-G12)</f>
        <v>1359319577.8037739</v>
      </c>
      <c r="J12" s="31">
        <f>MIN(1,MAX(0,IF(A12&lt;=Inputs!$B$24,'Alaska Base'!$C$19+(Inputs!$B$6-'Alaska Base'!$C$19)*((A12-Inputs!$B$23)/(Inputs!$B$24-Inputs!$B$23)),Inputs!$B$6+(Inputs!$B$7-Inputs!$B$6)*((A12-Inputs!$B$24)/(Inputs!$B$25-Inputs!$B$24)))))</f>
        <v>0.35</v>
      </c>
      <c r="K12" s="35">
        <f t="shared" si="9"/>
        <v>475761852.2313208</v>
      </c>
      <c r="L12" s="35">
        <v>2912700000</v>
      </c>
      <c r="M12" s="31">
        <f t="shared" si="10"/>
        <v>0.16334049240612517</v>
      </c>
      <c r="N12" s="35">
        <f t="shared" si="0"/>
        <v>0</v>
      </c>
      <c r="O12" s="31">
        <f t="shared" si="11"/>
        <v>0.35</v>
      </c>
      <c r="P12" s="35">
        <f t="shared" si="1"/>
        <v>475761852.2313208</v>
      </c>
      <c r="Q12" s="35">
        <f t="shared" si="2"/>
        <v>883557725.57245302</v>
      </c>
      <c r="R12" s="29">
        <f>'Alaska Base'!$C$7*INDEX(EIA_AEO!$C$2:$C$27,MATCH(A12,EIA_AEO!$A$2:$A$27,0))</f>
        <v>2.7183935868225158</v>
      </c>
      <c r="S12" s="29">
        <f>R12*(1+Inputs!$B$9)</f>
        <v>5.4367871736450315</v>
      </c>
      <c r="T12" s="29">
        <f>R12*(1+Inputs!$B$9*(1-Inputs!$B$10))</f>
        <v>5.4367871736450315</v>
      </c>
      <c r="U12" s="36">
        <f t="shared" si="12"/>
        <v>3695165622.7440686</v>
      </c>
      <c r="V12" s="36">
        <f t="shared" si="3"/>
        <v>4988473590.7044926</v>
      </c>
      <c r="W12" s="36">
        <f t="shared" si="4"/>
        <v>1293307967.9604239</v>
      </c>
      <c r="X12" s="36">
        <f>P12*R12*Inputs!$B$9*Inputs!$B$10</f>
        <v>0</v>
      </c>
      <c r="Y12" s="36">
        <f>'Alaska Base'!$C$8*C12</f>
        <v>18295803515.71154</v>
      </c>
      <c r="Z12" s="31">
        <f t="shared" si="5"/>
        <v>7.0688776628465344E-2</v>
      </c>
      <c r="AA12" s="31">
        <f>1-O12*Inputs!$B$8</f>
        <v>0.72</v>
      </c>
      <c r="AB12" s="30">
        <f>'Alaska Base'!$C$3/D12*F12*(AA12/(1-'Alaska Base'!$C$19*Inputs!$B$8))*(1-G12)</f>
        <v>0.89076594374372753</v>
      </c>
      <c r="AC12" s="31">
        <f>1-AB12/'Alaska Base'!$C$2</f>
        <v>0.35916119155127513</v>
      </c>
      <c r="AD12" s="30"/>
      <c r="AE12" s="30"/>
      <c r="AF12" s="30"/>
      <c r="AG12" s="35">
        <f>AB12*'Alaska Base'!$C$18*C12/1000</f>
        <v>8974258.1949476171</v>
      </c>
      <c r="AH12" s="35">
        <f>MIN(1,MAX(0,Inputs!$B$12*B12/(Inputs!$B$25-Inputs!$B$23)))</f>
        <v>0</v>
      </c>
      <c r="AI12" s="35">
        <f>'Alaska Base'!$C$13*C12*(1-AH12)</f>
        <v>17717.594962999257</v>
      </c>
      <c r="AJ12" s="35">
        <f>'Alaska Base'!$C$14*C12</f>
        <v>8204.136909039833</v>
      </c>
      <c r="AK12" s="35">
        <f>'Alaska Base'!$C$16*C12</f>
        <v>17116.258068178482</v>
      </c>
      <c r="AL12" s="35">
        <f t="shared" si="6"/>
        <v>9017296.1848878339</v>
      </c>
      <c r="AM12" s="36">
        <f>Inputs!$B$14</f>
        <v>200</v>
      </c>
      <c r="AN12" s="36">
        <f>IF(A12=Inputs!$B$25,AL12*AM12*Inputs!$B$22,0)</f>
        <v>0</v>
      </c>
      <c r="AO12" s="36">
        <f t="shared" si="7"/>
        <v>1293307967.9604239</v>
      </c>
      <c r="AP12" s="31">
        <f t="shared" si="8"/>
        <v>7.0688776628465344E-2</v>
      </c>
    </row>
    <row r="13" spans="1:42" x14ac:dyDescent="0.2">
      <c r="A13" s="34">
        <v>2036</v>
      </c>
      <c r="B13" s="34">
        <v>11</v>
      </c>
      <c r="C13" s="31">
        <f>INDEX('FAA Forecast'!$C$4:$C$19,MATCH(A13,'FAA Forecast'!$A$4:$A$19,0))*(1+Inputs!$B$4)^B13</f>
        <v>1.3210909090909091</v>
      </c>
      <c r="D13" s="31">
        <f>INDEX(EIA_AEO!$E$2:$E$27,MATCH(A13,EIA_AEO!$A$2:$A$27,0))*(1+Inputs!$B$5)^B13</f>
        <v>1.0921427725225969</v>
      </c>
      <c r="E13" s="31">
        <f>MIN(1,MAX(0,Inputs!$B$11*B13/(Inputs!$B$25-Inputs!$B$23)))</f>
        <v>0</v>
      </c>
      <c r="F13" s="31">
        <f>1-E13*Inputs!$B$21</f>
        <v>1</v>
      </c>
      <c r="G13" s="31">
        <v>0</v>
      </c>
      <c r="H13" s="35">
        <v>1386238337.9796226</v>
      </c>
      <c r="I13" s="35" cm="1">
        <f t="array" ref="I13">H13*(1-G13)</f>
        <v>1386238337.9796226</v>
      </c>
      <c r="J13" s="31">
        <f>MIN(1,MAX(0,IF(A13&lt;=Inputs!$B$24,'Alaska Base'!$C$19+(Inputs!$B$6-'Alaska Base'!$C$19)*((A13-Inputs!$B$23)/(Inputs!$B$24-Inputs!$B$23)),Inputs!$B$6+(Inputs!$B$7-Inputs!$B$6)*((A13-Inputs!$B$24)/(Inputs!$B$25-Inputs!$B$24)))))</f>
        <v>0.4</v>
      </c>
      <c r="K13" s="35">
        <f t="shared" si="9"/>
        <v>554495335.19184911</v>
      </c>
      <c r="L13" s="35">
        <v>2912700000</v>
      </c>
      <c r="M13" s="31">
        <f t="shared" si="10"/>
        <v>0.1903715917162252</v>
      </c>
      <c r="N13" s="35">
        <f t="shared" si="0"/>
        <v>0</v>
      </c>
      <c r="O13" s="31">
        <f t="shared" si="11"/>
        <v>0.4</v>
      </c>
      <c r="P13" s="35">
        <f t="shared" si="1"/>
        <v>554495335.19184911</v>
      </c>
      <c r="Q13" s="35">
        <f t="shared" si="2"/>
        <v>831743002.78777349</v>
      </c>
      <c r="R13" s="29">
        <f>'Alaska Base'!$C$7*INDEX(EIA_AEO!$C$2:$C$27,MATCH(A13,EIA_AEO!$A$2:$A$27,0))</f>
        <v>2.7458155358429894</v>
      </c>
      <c r="S13" s="29">
        <f>R13*(1+Inputs!$B$9)</f>
        <v>5.4916310716859789</v>
      </c>
      <c r="T13" s="29">
        <f>R13*(1+Inputs!$B$9*(1-Inputs!$B$10))</f>
        <v>5.4916310716859789</v>
      </c>
      <c r="U13" s="36">
        <f t="shared" si="12"/>
        <v>3806354764.8056126</v>
      </c>
      <c r="V13" s="36">
        <f t="shared" si="3"/>
        <v>5328896670.7278576</v>
      </c>
      <c r="W13" s="36">
        <f t="shared" si="4"/>
        <v>1522541905.922245</v>
      </c>
      <c r="X13" s="36">
        <f>P13*R13*Inputs!$B$9*Inputs!$B$10</f>
        <v>0</v>
      </c>
      <c r="Y13" s="36">
        <f>'Alaska Base'!$C$8*C13</f>
        <v>18811013454.545456</v>
      </c>
      <c r="Z13" s="31">
        <f t="shared" si="5"/>
        <v>8.0938855825141154E-2</v>
      </c>
      <c r="AA13" s="31">
        <f>1-O13*Inputs!$B$8</f>
        <v>0.67999999999999994</v>
      </c>
      <c r="AB13" s="30">
        <f>'Alaska Base'!$C$3/D13*F13*(AA13/(1-'Alaska Base'!$C$19*Inputs!$B$8))*(1-G13)</f>
        <v>0.83444102515220164</v>
      </c>
      <c r="AC13" s="31">
        <f>1-AB13/'Alaska Base'!$C$2</f>
        <v>0.39968271571784053</v>
      </c>
      <c r="AD13" s="30"/>
      <c r="AE13" s="30"/>
      <c r="AF13" s="30"/>
      <c r="AG13" s="35">
        <f>AB13*'Alaska Base'!$C$18*C13/1000</f>
        <v>8643533.3143614251</v>
      </c>
      <c r="AH13" s="35">
        <f>MIN(1,MAX(0,Inputs!$B$12*B13/(Inputs!$B$25-Inputs!$B$23)))</f>
        <v>0</v>
      </c>
      <c r="AI13" s="35">
        <f>'Alaska Base'!$C$13*C13*(1-AH13)</f>
        <v>18216.522545454547</v>
      </c>
      <c r="AJ13" s="35">
        <f>'Alaska Base'!$C$14*C13</f>
        <v>8435.1654545454548</v>
      </c>
      <c r="AK13" s="35">
        <f>'Alaska Base'!$C$16*C13</f>
        <v>17598.252</v>
      </c>
      <c r="AL13" s="35">
        <f t="shared" si="6"/>
        <v>8687783.2543614265</v>
      </c>
      <c r="AM13" s="36">
        <f>Inputs!$B$14</f>
        <v>200</v>
      </c>
      <c r="AN13" s="36">
        <f>IF(A13=Inputs!$B$25,AL13*AM13*Inputs!$B$22,0)</f>
        <v>0</v>
      </c>
      <c r="AO13" s="36">
        <f t="shared" si="7"/>
        <v>1522541905.922245</v>
      </c>
      <c r="AP13" s="31">
        <f t="shared" si="8"/>
        <v>8.0938855825141154E-2</v>
      </c>
    </row>
    <row r="14" spans="1:42" x14ac:dyDescent="0.2">
      <c r="A14" s="34">
        <v>2037</v>
      </c>
      <c r="B14" s="34">
        <v>12</v>
      </c>
      <c r="C14" s="31">
        <f>INDEX('FAA Forecast'!$C$4:$C$19,MATCH(A14,'FAA Forecast'!$A$4:$A$19,0))*(1+Inputs!$B$4)^B14</f>
        <v>1.3543812310873953</v>
      </c>
      <c r="D14" s="31">
        <f>INDEX(EIA_AEO!$E$2:$E$27,MATCH(A14,EIA_AEO!$A$2:$A$27,0))*(1+Inputs!$B$5)^B14</f>
        <v>1.1009695550534584</v>
      </c>
      <c r="E14" s="31">
        <f>MIN(1,MAX(0,Inputs!$B$11*B14/(Inputs!$B$25-Inputs!$B$23)))</f>
        <v>0</v>
      </c>
      <c r="F14" s="31">
        <f>1-E14*Inputs!$B$21</f>
        <v>1</v>
      </c>
      <c r="G14" s="31">
        <v>0</v>
      </c>
      <c r="H14" s="35">
        <v>1409776395.4524524</v>
      </c>
      <c r="I14" s="35" cm="1">
        <f t="array" ref="I14">H14*(1-G14)</f>
        <v>1409776395.4524524</v>
      </c>
      <c r="J14" s="31">
        <f>MIN(1,MAX(0,IF(A14&lt;=Inputs!$B$24,'Alaska Base'!$C$19+(Inputs!$B$6-'Alaska Base'!$C$19)*((A14-Inputs!$B$23)/(Inputs!$B$24-Inputs!$B$23)),Inputs!$B$6+(Inputs!$B$7-Inputs!$B$6)*((A14-Inputs!$B$24)/(Inputs!$B$25-Inputs!$B$24)))))</f>
        <v>0.44999999999999996</v>
      </c>
      <c r="K14" s="35">
        <f t="shared" si="9"/>
        <v>634399377.95360351</v>
      </c>
      <c r="L14" s="35">
        <v>2912700000</v>
      </c>
      <c r="M14" s="31">
        <f t="shared" si="10"/>
        <v>0.21780457237394976</v>
      </c>
      <c r="N14" s="35">
        <f t="shared" si="0"/>
        <v>0</v>
      </c>
      <c r="O14" s="31">
        <f t="shared" si="11"/>
        <v>0.44999999999999996</v>
      </c>
      <c r="P14" s="35">
        <f t="shared" si="1"/>
        <v>634399377.95360351</v>
      </c>
      <c r="Q14" s="35">
        <f t="shared" si="2"/>
        <v>775377017.49884892</v>
      </c>
      <c r="R14" s="29">
        <f>'Alaska Base'!$C$7*INDEX(EIA_AEO!$C$2:$C$27,MATCH(A14,EIA_AEO!$A$2:$A$27,0))</f>
        <v>2.8377207976112508</v>
      </c>
      <c r="S14" s="29">
        <f>R14*(1+Inputs!$B$9)</f>
        <v>5.6754415952225017</v>
      </c>
      <c r="T14" s="29">
        <f>R14*(1+Inputs!$B$9*(1-Inputs!$B$10))</f>
        <v>5.6754415952225017</v>
      </c>
      <c r="U14" s="36">
        <f t="shared" si="12"/>
        <v>4000551797.3568473</v>
      </c>
      <c r="V14" s="36">
        <f t="shared" si="3"/>
        <v>5800800106.167429</v>
      </c>
      <c r="W14" s="36">
        <f t="shared" si="4"/>
        <v>1800248308.8105817</v>
      </c>
      <c r="X14" s="36">
        <f>P14*R14*Inputs!$B$9*Inputs!$B$10</f>
        <v>0</v>
      </c>
      <c r="Y14" s="36">
        <f>'Alaska Base'!$C$8*C14</f>
        <v>19285034349.453423</v>
      </c>
      <c r="Z14" s="31">
        <f t="shared" si="5"/>
        <v>9.3349499730686472E-2</v>
      </c>
      <c r="AA14" s="31">
        <f>1-O14*Inputs!$B$8</f>
        <v>0.64</v>
      </c>
      <c r="AB14" s="30">
        <f>'Alaska Base'!$C$3/D14*F14*(AA14/(1-'Alaska Base'!$C$19*Inputs!$B$8))*(1-G14)</f>
        <v>0.77905983698550541</v>
      </c>
      <c r="AC14" s="31">
        <f>1-AB14/'Alaska Base'!$C$2</f>
        <v>0.43952529713272992</v>
      </c>
      <c r="AD14" s="30"/>
      <c r="AE14" s="30"/>
      <c r="AF14" s="30"/>
      <c r="AG14" s="35">
        <f>AB14*'Alaska Base'!$C$18*C14/1000</f>
        <v>8273222.4278620258</v>
      </c>
      <c r="AH14" s="35">
        <f>MIN(1,MAX(0,Inputs!$B$12*B14/(Inputs!$B$25-Inputs!$B$23)))</f>
        <v>0</v>
      </c>
      <c r="AI14" s="35">
        <f>'Alaska Base'!$C$13*C14*(1-AH14)</f>
        <v>18675.562795464095</v>
      </c>
      <c r="AJ14" s="35">
        <f>'Alaska Base'!$C$14*C14</f>
        <v>8647.7241604930186</v>
      </c>
      <c r="AK14" s="35">
        <f>'Alaska Base'!$C$16*C14</f>
        <v>18041.712379315191</v>
      </c>
      <c r="AL14" s="35">
        <f t="shared" si="6"/>
        <v>8318587.427197298</v>
      </c>
      <c r="AM14" s="36">
        <f>Inputs!$B$14</f>
        <v>200</v>
      </c>
      <c r="AN14" s="36">
        <f>IF(A14=Inputs!$B$25,AL14*AM14*Inputs!$B$22,0)</f>
        <v>0</v>
      </c>
      <c r="AO14" s="36">
        <f t="shared" si="7"/>
        <v>1800248308.8105817</v>
      </c>
      <c r="AP14" s="31">
        <f t="shared" si="8"/>
        <v>9.3349499730686472E-2</v>
      </c>
    </row>
    <row r="15" spans="1:42" x14ac:dyDescent="0.2">
      <c r="A15" s="34">
        <v>2038</v>
      </c>
      <c r="B15" s="34">
        <v>13</v>
      </c>
      <c r="C15" s="31">
        <f>INDEX('FAA Forecast'!$C$4:$C$19,MATCH(A15,'FAA Forecast'!$A$4:$A$19,0))*(1+Inputs!$B$4)^B15</f>
        <v>1.3885104397426298</v>
      </c>
      <c r="D15" s="31">
        <f>INDEX(EIA_AEO!$E$2:$E$27,MATCH(A15,EIA_AEO!$A$2:$A$27,0))*(1+Inputs!$B$5)^B15</f>
        <v>1.1100107724386374</v>
      </c>
      <c r="E15" s="31">
        <f>MIN(1,MAX(0,Inputs!$B$11*B15/(Inputs!$B$25-Inputs!$B$23)))</f>
        <v>0</v>
      </c>
      <c r="F15" s="31">
        <f>1-E15*Inputs!$B$21</f>
        <v>1</v>
      </c>
      <c r="G15" s="31">
        <v>0</v>
      </c>
      <c r="H15" s="35">
        <v>1433529298.503289</v>
      </c>
      <c r="I15" s="35" cm="1">
        <f t="array" ref="I15">H15*(1-G15)</f>
        <v>1433529298.503289</v>
      </c>
      <c r="J15" s="31">
        <f>MIN(1,MAX(0,IF(A15&lt;=Inputs!$B$24,'Alaska Base'!$C$19+(Inputs!$B$6-'Alaska Base'!$C$19)*((A15-Inputs!$B$23)/(Inputs!$B$24-Inputs!$B$23)),Inputs!$B$6+(Inputs!$B$7-Inputs!$B$6)*((A15-Inputs!$B$24)/(Inputs!$B$25-Inputs!$B$24)))))</f>
        <v>0.5</v>
      </c>
      <c r="K15" s="35">
        <f t="shared" si="9"/>
        <v>716764649.25164449</v>
      </c>
      <c r="L15" s="35">
        <v>2912700000</v>
      </c>
      <c r="M15" s="31">
        <f t="shared" si="10"/>
        <v>0.24608255201416024</v>
      </c>
      <c r="N15" s="35">
        <f t="shared" si="0"/>
        <v>0</v>
      </c>
      <c r="O15" s="31">
        <f t="shared" si="11"/>
        <v>0.5</v>
      </c>
      <c r="P15" s="35">
        <f t="shared" si="1"/>
        <v>716764649.25164449</v>
      </c>
      <c r="Q15" s="35">
        <f t="shared" si="2"/>
        <v>716764649.25164449</v>
      </c>
      <c r="R15" s="29">
        <f>'Alaska Base'!$C$7*INDEX(EIA_AEO!$C$2:$C$27,MATCH(A15,EIA_AEO!$A$2:$A$27,0))</f>
        <v>2.8738181126322058</v>
      </c>
      <c r="S15" s="29">
        <f>R15*(1+Inputs!$B$9)</f>
        <v>5.7476362252644115</v>
      </c>
      <c r="T15" s="29">
        <f>R15*(1+Inputs!$B$9*(1-Inputs!$B$10))</f>
        <v>5.7476362252644115</v>
      </c>
      <c r="U15" s="36">
        <f t="shared" si="12"/>
        <v>4119702463.0276918</v>
      </c>
      <c r="V15" s="36">
        <f t="shared" si="3"/>
        <v>6179553694.5415382</v>
      </c>
      <c r="W15" s="36">
        <f t="shared" si="4"/>
        <v>2059851231.5138464</v>
      </c>
      <c r="X15" s="36">
        <f>P15*R15*Inputs!$B$9*Inputs!$B$10</f>
        <v>0</v>
      </c>
      <c r="Y15" s="36">
        <f>'Alaska Base'!$C$8*C15</f>
        <v>19771000151.495304</v>
      </c>
      <c r="Z15" s="31">
        <f t="shared" si="5"/>
        <v>0.1041854845850101</v>
      </c>
      <c r="AA15" s="31">
        <f>1-O15*Inputs!$B$8</f>
        <v>0.6</v>
      </c>
      <c r="AB15" s="30">
        <f>'Alaska Base'!$C$3/D15*F15*(AA15/(1-'Alaska Base'!$C$19*Inputs!$B$8))*(1-G15)</f>
        <v>0.72441962674738969</v>
      </c>
      <c r="AC15" s="31">
        <f>1-AB15/'Alaska Base'!$C$2</f>
        <v>0.47883480090115849</v>
      </c>
      <c r="AD15" s="30"/>
      <c r="AE15" s="30"/>
      <c r="AF15" s="30"/>
      <c r="AG15" s="35">
        <f>AB15*'Alaska Base'!$C$18*C15/1000</f>
        <v>7886827.0229091104</v>
      </c>
      <c r="AH15" s="35">
        <f>MIN(1,MAX(0,Inputs!$B$12*B15/(Inputs!$B$25-Inputs!$B$23)))</f>
        <v>0</v>
      </c>
      <c r="AI15" s="35">
        <f>'Alaska Base'!$C$13*C15*(1-AH15)</f>
        <v>19146.170453611121</v>
      </c>
      <c r="AJ15" s="35">
        <f>'Alaska Base'!$C$14*C15</f>
        <v>8865.6391577566919</v>
      </c>
      <c r="AK15" s="35">
        <f>'Alaska Base'!$C$16*C15</f>
        <v>18496.347567811572</v>
      </c>
      <c r="AL15" s="35">
        <f t="shared" si="6"/>
        <v>7933335.1800882891</v>
      </c>
      <c r="AM15" s="36">
        <f>Inputs!$B$14</f>
        <v>200</v>
      </c>
      <c r="AN15" s="36">
        <f>IF(A15=Inputs!$B$25,AL15*AM15*Inputs!$B$22,0)</f>
        <v>0</v>
      </c>
      <c r="AO15" s="36">
        <f t="shared" si="7"/>
        <v>2059851231.5138464</v>
      </c>
      <c r="AP15" s="31">
        <f t="shared" si="8"/>
        <v>0.1041854845850101</v>
      </c>
    </row>
    <row r="16" spans="1:42" x14ac:dyDescent="0.2">
      <c r="A16" s="34">
        <v>2039</v>
      </c>
      <c r="B16" s="34">
        <v>14</v>
      </c>
      <c r="C16" s="31">
        <f>INDEX('FAA Forecast'!$C$4:$C$19,MATCH(A16,'FAA Forecast'!$A$4:$A$19,0))*(1+Inputs!$B$4)^B16</f>
        <v>1.4234996742581583</v>
      </c>
      <c r="D16" s="31">
        <f>INDEX(EIA_AEO!$E$2:$E$27,MATCH(A16,EIA_AEO!$A$2:$A$27,0))*(1+Inputs!$B$5)^B16</f>
        <v>1.1189377016496986</v>
      </c>
      <c r="E16" s="31">
        <f>MIN(1,MAX(0,Inputs!$B$11*B16/(Inputs!$B$25-Inputs!$B$23)))</f>
        <v>0</v>
      </c>
      <c r="F16" s="31">
        <f>1-E16*Inputs!$B$21</f>
        <v>1</v>
      </c>
      <c r="G16" s="31">
        <v>0</v>
      </c>
      <c r="H16" s="35">
        <v>1457928018.9546814</v>
      </c>
      <c r="I16" s="35" cm="1">
        <f t="array" ref="I16">H16*(1-G16)</f>
        <v>1457928018.9546814</v>
      </c>
      <c r="J16" s="31">
        <f>MIN(1,MAX(0,IF(A16&lt;=Inputs!$B$24,'Alaska Base'!$C$19+(Inputs!$B$6-'Alaska Base'!$C$19)*((A16-Inputs!$B$23)/(Inputs!$B$24-Inputs!$B$23)),Inputs!$B$6+(Inputs!$B$7-Inputs!$B$6)*((A16-Inputs!$B$24)/(Inputs!$B$25-Inputs!$B$24)))))</f>
        <v>0.55000000000000004</v>
      </c>
      <c r="K16" s="35">
        <f t="shared" si="9"/>
        <v>801860410.42507482</v>
      </c>
      <c r="L16" s="35">
        <v>2912700000</v>
      </c>
      <c r="M16" s="31">
        <f t="shared" si="10"/>
        <v>0.27529797453396326</v>
      </c>
      <c r="N16" s="35">
        <f t="shared" si="0"/>
        <v>0</v>
      </c>
      <c r="O16" s="31">
        <f t="shared" si="11"/>
        <v>0.55000000000000004</v>
      </c>
      <c r="P16" s="35">
        <f t="shared" si="1"/>
        <v>801860410.42507482</v>
      </c>
      <c r="Q16" s="35">
        <f t="shared" si="2"/>
        <v>656067608.52960658</v>
      </c>
      <c r="R16" s="29">
        <f>'Alaska Base'!$C$7*INDEX(EIA_AEO!$C$2:$C$27,MATCH(A16,EIA_AEO!$A$2:$A$27,0))</f>
        <v>2.938820088588344</v>
      </c>
      <c r="S16" s="29">
        <f>R16*(1+Inputs!$B$9)</f>
        <v>5.877640177176688</v>
      </c>
      <c r="T16" s="29">
        <f>R16*(1+Inputs!$B$9*(1-Inputs!$B$10))</f>
        <v>5.877640177176688</v>
      </c>
      <c r="U16" s="36">
        <f t="shared" si="12"/>
        <v>4284588149.8198256</v>
      </c>
      <c r="V16" s="36">
        <f t="shared" si="3"/>
        <v>6641111632.2207298</v>
      </c>
      <c r="W16" s="36">
        <f t="shared" si="4"/>
        <v>2356523482.4009042</v>
      </c>
      <c r="X16" s="36">
        <f>P16*R16*Inputs!$B$9*Inputs!$B$10</f>
        <v>0</v>
      </c>
      <c r="Y16" s="36">
        <f>'Alaska Base'!$C$8*C16</f>
        <v>20269211861.761917</v>
      </c>
      <c r="Z16" s="31">
        <f t="shared" si="5"/>
        <v>0.11626122902422815</v>
      </c>
      <c r="AA16" s="31">
        <f>1-O16*Inputs!$B$8</f>
        <v>0.55999999999999994</v>
      </c>
      <c r="AB16" s="30">
        <f>'Alaska Base'!$C$3/D16*F16*(AA16/(1-'Alaska Base'!$C$19*Inputs!$B$8))*(1-G16)</f>
        <v>0.67073083310956794</v>
      </c>
      <c r="AC16" s="31">
        <f>1-AB16/'Alaska Base'!$C$2</f>
        <v>0.51745983229527481</v>
      </c>
      <c r="AD16" s="30"/>
      <c r="AE16" s="30"/>
      <c r="AF16" s="30"/>
      <c r="AG16" s="35">
        <f>AB16*'Alaska Base'!$C$18*C16/1000</f>
        <v>7486323.6968576657</v>
      </c>
      <c r="AH16" s="35">
        <f>MIN(1,MAX(0,Inputs!$B$12*B16/(Inputs!$B$25-Inputs!$B$23)))</f>
        <v>0</v>
      </c>
      <c r="AI16" s="35">
        <f>'Alaska Base'!$C$13*C16*(1-AH16)</f>
        <v>19628.637008345744</v>
      </c>
      <c r="AJ16" s="35">
        <f>'Alaska Base'!$C$14*C16</f>
        <v>9089.04542013834</v>
      </c>
      <c r="AK16" s="35">
        <f>'Alaska Base'!$C$16*C16</f>
        <v>18962.439160792925</v>
      </c>
      <c r="AL16" s="35">
        <f t="shared" si="6"/>
        <v>7534003.8184469426</v>
      </c>
      <c r="AM16" s="36">
        <f>Inputs!$B$14</f>
        <v>200</v>
      </c>
      <c r="AN16" s="36">
        <f>IF(A16=Inputs!$B$25,AL16*AM16*Inputs!$B$22,0)</f>
        <v>0</v>
      </c>
      <c r="AO16" s="36">
        <f t="shared" si="7"/>
        <v>2356523482.4009042</v>
      </c>
      <c r="AP16" s="31">
        <f t="shared" si="8"/>
        <v>0.11626122902422815</v>
      </c>
    </row>
    <row r="17" spans="1:42" x14ac:dyDescent="0.2">
      <c r="A17" s="34">
        <v>2040</v>
      </c>
      <c r="B17" s="34">
        <v>15</v>
      </c>
      <c r="C17" s="31">
        <f>INDEX('FAA Forecast'!$C$4:$C$19,MATCH(A17,'FAA Forecast'!$A$4:$A$19,0))*(1+Inputs!$B$4)^B17</f>
        <v>1.4593706065247025</v>
      </c>
      <c r="D17" s="31">
        <f>INDEX(EIA_AEO!$E$2:$E$27,MATCH(A17,EIA_AEO!$A$2:$A$27,0))*(1+Inputs!$B$5)^B17</f>
        <v>1.1280636790581728</v>
      </c>
      <c r="E17" s="31">
        <f>MIN(1,MAX(0,Inputs!$B$11*B17/(Inputs!$B$25-Inputs!$B$23)))</f>
        <v>0</v>
      </c>
      <c r="F17" s="31">
        <f>1-E17*Inputs!$B$21</f>
        <v>1</v>
      </c>
      <c r="G17" s="31">
        <v>0</v>
      </c>
      <c r="H17" s="35">
        <v>1482574739.4629693</v>
      </c>
      <c r="I17" s="35" cm="1">
        <f t="array" ref="I17">H17*(1-G17)</f>
        <v>1482574739.4629693</v>
      </c>
      <c r="J17" s="31">
        <f>MIN(1,MAX(0,IF(A17&lt;=Inputs!$B$24,'Alaska Base'!$C$19+(Inputs!$B$6-'Alaska Base'!$C$19)*((A17-Inputs!$B$23)/(Inputs!$B$24-Inputs!$B$23)),Inputs!$B$6+(Inputs!$B$7-Inputs!$B$6)*((A17-Inputs!$B$24)/(Inputs!$B$25-Inputs!$B$24)))))</f>
        <v>0.6</v>
      </c>
      <c r="K17" s="35">
        <f t="shared" si="9"/>
        <v>889544843.67778158</v>
      </c>
      <c r="L17" s="35">
        <v>2912700000</v>
      </c>
      <c r="M17" s="31">
        <f t="shared" si="10"/>
        <v>0.30540215047130898</v>
      </c>
      <c r="N17" s="35">
        <f t="shared" si="0"/>
        <v>0</v>
      </c>
      <c r="O17" s="31">
        <f t="shared" si="11"/>
        <v>0.6</v>
      </c>
      <c r="P17" s="35">
        <f t="shared" si="1"/>
        <v>889544843.67778158</v>
      </c>
      <c r="Q17" s="35">
        <f t="shared" si="2"/>
        <v>593029895.78518772</v>
      </c>
      <c r="R17" s="29">
        <f>'Alaska Base'!$C$7*INDEX(EIA_AEO!$C$2:$C$27,MATCH(A17,EIA_AEO!$A$2:$A$27,0))</f>
        <v>2.9746250076724059</v>
      </c>
      <c r="S17" s="29">
        <f>R17*(1+Inputs!$B$9)</f>
        <v>5.9492500153448118</v>
      </c>
      <c r="T17" s="29">
        <f>R17*(1+Inputs!$B$9*(1-Inputs!$B$10))</f>
        <v>5.9492500153448118</v>
      </c>
      <c r="U17" s="36">
        <f t="shared" si="12"/>
        <v>4410103895.7499504</v>
      </c>
      <c r="V17" s="36">
        <f t="shared" si="3"/>
        <v>7056166233.1999207</v>
      </c>
      <c r="W17" s="36">
        <f t="shared" si="4"/>
        <v>2646062337.4499702</v>
      </c>
      <c r="X17" s="36">
        <f>P17*R17*Inputs!$B$9*Inputs!$B$10</f>
        <v>0</v>
      </c>
      <c r="Y17" s="36">
        <f>'Alaska Base'!$C$8*C17</f>
        <v>20779978066.305241</v>
      </c>
      <c r="Z17" s="31">
        <f t="shared" si="5"/>
        <v>0.12733710926002195</v>
      </c>
      <c r="AA17" s="31">
        <f>1-O17*Inputs!$B$8</f>
        <v>0.52</v>
      </c>
      <c r="AB17" s="30">
        <f>'Alaska Base'!$C$3/D17*F17*(AA17/(1-'Alaska Base'!$C$19*Inputs!$B$8))*(1-G17)</f>
        <v>0.61778289393793817</v>
      </c>
      <c r="AC17" s="31">
        <f>1-AB17/'Alaska Base'!$C$2</f>
        <v>0.55555187486479263</v>
      </c>
      <c r="AD17" s="30"/>
      <c r="AE17" s="30"/>
      <c r="AF17" s="30">
        <v>0</v>
      </c>
      <c r="AG17" s="35">
        <f>AB17*'Alaska Base'!$C$18*C17/1000</f>
        <v>7069104.9891821919</v>
      </c>
      <c r="AH17" s="35">
        <f>MIN(1,MAX(0,Inputs!$B$12*B17/(Inputs!$B$25-Inputs!$B$23)))</f>
        <v>0</v>
      </c>
      <c r="AI17" s="35">
        <f>'Alaska Base'!$C$13*C17*(1-AH17)</f>
        <v>20123.261293369123</v>
      </c>
      <c r="AJ17" s="35">
        <f>'Alaska Base'!$C$14*C17</f>
        <v>9318.0813226602259</v>
      </c>
      <c r="AK17" s="35">
        <f>'Alaska Base'!$C$16*C17</f>
        <v>19440.275849515561</v>
      </c>
      <c r="AL17" s="35">
        <f t="shared" si="6"/>
        <v>7117986.6076477375</v>
      </c>
      <c r="AM17" s="36">
        <f>Inputs!$B$14</f>
        <v>200</v>
      </c>
      <c r="AN17" s="36">
        <f>IF(A17=Inputs!$B$25,AL17*AM17*Inputs!$B$22,0)</f>
        <v>1423597321.5295475</v>
      </c>
      <c r="AO17" s="36">
        <f t="shared" si="7"/>
        <v>4069659658.9795179</v>
      </c>
      <c r="AP17" s="31">
        <f t="shared" si="8"/>
        <v>0.19584523361833939</v>
      </c>
    </row>
    <row r="18" spans="1:42" x14ac:dyDescent="0.2">
      <c r="C18" s="10"/>
      <c r="D18" s="10"/>
      <c r="E18" s="15"/>
      <c r="F18" s="10"/>
      <c r="G18" s="21"/>
      <c r="H18" s="21"/>
      <c r="J18" s="19"/>
      <c r="K18" s="17"/>
      <c r="L18" s="16"/>
      <c r="M18" s="19"/>
      <c r="N18" s="16"/>
      <c r="O18" s="10"/>
      <c r="P18" s="4"/>
    </row>
    <row r="19" spans="1:42" x14ac:dyDescent="0.2">
      <c r="C19" s="10"/>
      <c r="D19" s="10"/>
      <c r="E19" s="15"/>
      <c r="F19" s="10"/>
      <c r="G19" s="21"/>
      <c r="H19" s="21"/>
      <c r="J19" s="19"/>
      <c r="K19" s="17"/>
      <c r="L19" s="16"/>
      <c r="M19" s="19"/>
      <c r="N19" s="16"/>
      <c r="O19" s="10"/>
      <c r="P19" s="4"/>
    </row>
    <row r="20" spans="1:42" x14ac:dyDescent="0.2">
      <c r="C20" s="10"/>
      <c r="D20" s="10"/>
      <c r="E20" s="15"/>
      <c r="F20" s="10"/>
      <c r="G20" s="21"/>
      <c r="H20" s="21"/>
      <c r="J20" s="19"/>
      <c r="K20" s="17"/>
      <c r="L20" s="16"/>
      <c r="M20" s="19"/>
      <c r="N20" s="16"/>
      <c r="O20" s="10"/>
      <c r="P20" s="4"/>
    </row>
    <row r="21" spans="1:42" x14ac:dyDescent="0.2">
      <c r="C21" s="10"/>
      <c r="D21" s="10"/>
      <c r="E21" s="15"/>
      <c r="F21" s="10"/>
      <c r="G21" s="21"/>
      <c r="H21" s="21"/>
      <c r="J21" s="19"/>
      <c r="K21" s="17"/>
      <c r="L21" s="16"/>
      <c r="M21" s="19"/>
      <c r="N21" s="16"/>
      <c r="O21" s="10"/>
      <c r="P21" s="4"/>
    </row>
    <row r="22" spans="1:42" x14ac:dyDescent="0.2">
      <c r="C22" s="10"/>
      <c r="D22" s="10"/>
      <c r="E22" s="15"/>
      <c r="F22" s="10"/>
      <c r="G22" s="21"/>
      <c r="H22" s="21"/>
      <c r="J22" s="19"/>
      <c r="K22" s="17"/>
      <c r="L22" s="16"/>
      <c r="M22" s="19"/>
      <c r="N22" s="16"/>
      <c r="O22" s="10"/>
      <c r="P22" s="4"/>
    </row>
    <row r="23" spans="1:42" x14ac:dyDescent="0.2">
      <c r="C23" s="10"/>
      <c r="D23" s="10"/>
      <c r="E23" s="15"/>
      <c r="F23" s="10"/>
      <c r="G23" s="21"/>
      <c r="H23" s="21"/>
      <c r="J23" s="19"/>
      <c r="K23" s="17"/>
      <c r="L23" s="16"/>
      <c r="M23" s="19"/>
      <c r="N23" s="16"/>
      <c r="O23" s="10"/>
      <c r="P23" s="4"/>
    </row>
    <row r="24" spans="1:42" x14ac:dyDescent="0.2">
      <c r="C24" s="10"/>
      <c r="D24" s="10"/>
      <c r="E24" s="15"/>
      <c r="F24" s="10"/>
      <c r="G24" s="21"/>
      <c r="H24" s="21"/>
      <c r="J24" s="19"/>
      <c r="K24" s="17"/>
      <c r="L24" s="16"/>
      <c r="M24" s="19"/>
      <c r="N24" s="16"/>
      <c r="O24" s="10"/>
      <c r="P24" s="4"/>
    </row>
    <row r="25" spans="1:42" x14ac:dyDescent="0.2">
      <c r="C25" s="10"/>
      <c r="D25" s="10"/>
      <c r="E25" s="15"/>
      <c r="F25" s="10"/>
      <c r="G25" s="21"/>
      <c r="H25" s="21"/>
      <c r="J25" s="19"/>
      <c r="K25" s="17"/>
      <c r="L25" s="16"/>
      <c r="M25" s="19"/>
      <c r="N25" s="16"/>
      <c r="O25" s="10"/>
      <c r="P25" s="4"/>
    </row>
    <row r="26" spans="1:42" x14ac:dyDescent="0.2">
      <c r="C26" s="10"/>
      <c r="D26" s="10"/>
      <c r="E26" s="15"/>
      <c r="F26" s="10"/>
      <c r="G26" s="21"/>
      <c r="H26" s="21"/>
      <c r="J26" s="19"/>
      <c r="K26" s="17"/>
      <c r="L26" s="16"/>
      <c r="M26" s="19"/>
      <c r="N26" s="16"/>
      <c r="O26" s="10"/>
      <c r="P26" s="4"/>
    </row>
    <row r="27" spans="1:42" x14ac:dyDescent="0.2">
      <c r="C27" s="10"/>
      <c r="D27" s="10"/>
      <c r="E27" s="15"/>
      <c r="F27" s="10"/>
      <c r="G27" s="21"/>
      <c r="H27" s="21"/>
      <c r="J27" s="19"/>
      <c r="K27" s="17"/>
      <c r="L27" s="16"/>
      <c r="M27" s="19"/>
      <c r="N27" s="16"/>
      <c r="O27" s="10"/>
      <c r="P2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8"/>
  <sheetViews>
    <sheetView workbookViewId="0">
      <selection sqref="A1:D1"/>
    </sheetView>
  </sheetViews>
  <sheetFormatPr baseColWidth="10" defaultRowHeight="16" x14ac:dyDescent="0.2"/>
  <cols>
    <col min="1" max="1" width="44" customWidth="1"/>
    <col min="2" max="2" width="19" customWidth="1"/>
    <col min="3" max="3" width="23" customWidth="1"/>
    <col min="4" max="4" width="60" customWidth="1"/>
  </cols>
  <sheetData>
    <row r="1" spans="1:4" ht="20" x14ac:dyDescent="0.25">
      <c r="A1" s="105" t="s">
        <v>406</v>
      </c>
      <c r="B1" s="105"/>
      <c r="C1" s="105"/>
      <c r="D1" s="105"/>
    </row>
    <row r="2" spans="1:4" x14ac:dyDescent="0.2">
      <c r="A2" s="3"/>
      <c r="B2" s="3"/>
      <c r="C2" s="3"/>
      <c r="D2" s="3"/>
    </row>
    <row r="3" spans="1:4" ht="17" x14ac:dyDescent="0.2">
      <c r="A3" s="68" t="s">
        <v>407</v>
      </c>
      <c r="B3" s="68" t="s">
        <v>35</v>
      </c>
      <c r="C3" s="68" t="s">
        <v>36</v>
      </c>
      <c r="D3" s="68" t="s">
        <v>408</v>
      </c>
    </row>
    <row r="4" spans="1:4" ht="18" x14ac:dyDescent="0.25">
      <c r="A4" s="38" t="s">
        <v>366</v>
      </c>
      <c r="B4" s="30">
        <f>INDEX(Model!$C$2:$C$17,MATCH(Inputs!$B$24,Model!$A$2:$A$17,0))</f>
        <v>1.1230435736180981</v>
      </c>
      <c r="C4" s="3" t="s">
        <v>409</v>
      </c>
      <c r="D4" s="3" t="s">
        <v>410</v>
      </c>
    </row>
    <row r="5" spans="1:4" ht="17" x14ac:dyDescent="0.2">
      <c r="A5" s="3" t="s">
        <v>367</v>
      </c>
      <c r="B5" s="30">
        <f>INDEX(Model!$D$2:$D$17,MATCH(Inputs!$B$24,Model!$A$2:$A$17,0))</f>
        <v>1.0397555638329248</v>
      </c>
      <c r="C5" s="3" t="s">
        <v>409</v>
      </c>
      <c r="D5" s="3" t="s">
        <v>411</v>
      </c>
    </row>
    <row r="6" spans="1:4" ht="17" x14ac:dyDescent="0.2">
      <c r="A6" s="3" t="s">
        <v>369</v>
      </c>
      <c r="B6" s="30">
        <f>INDEX(Model!$F$2:$F$17,MATCH(Inputs!$B$24,Model!$A$2:$A$17,0))</f>
        <v>1</v>
      </c>
      <c r="C6" s="3" t="s">
        <v>412</v>
      </c>
      <c r="D6" s="3" t="s">
        <v>413</v>
      </c>
    </row>
    <row r="7" spans="1:4" ht="17" x14ac:dyDescent="0.2">
      <c r="A7" s="3" t="s">
        <v>370</v>
      </c>
      <c r="B7" s="31">
        <f>INDEX(Model!$G$2:$G$17,MATCH(Inputs!$B$24,Model!$A$2:$A$17,0))</f>
        <v>0</v>
      </c>
      <c r="C7" s="3" t="s">
        <v>312</v>
      </c>
      <c r="D7" s="3" t="s">
        <v>414</v>
      </c>
    </row>
    <row r="8" spans="1:4" ht="17" x14ac:dyDescent="0.2">
      <c r="A8" s="3" t="s">
        <v>373</v>
      </c>
      <c r="B8" s="31">
        <f>INDEX(Model!$J$2:$J$17,MATCH(Inputs!$B$24,Model!$A$2:$A$17,0))</f>
        <v>0.1</v>
      </c>
      <c r="C8" s="3" t="s">
        <v>312</v>
      </c>
      <c r="D8" s="3" t="s">
        <v>415</v>
      </c>
    </row>
    <row r="9" spans="1:4" ht="17" x14ac:dyDescent="0.2">
      <c r="A9" s="3" t="s">
        <v>378</v>
      </c>
      <c r="B9" s="31">
        <f>INDEX(Model!$O$2:$O$17,MATCH(Inputs!$B$24,Model!$A$2:$A$17,0))</f>
        <v>0.1</v>
      </c>
      <c r="C9" s="3" t="s">
        <v>312</v>
      </c>
      <c r="D9" s="3" t="s">
        <v>416</v>
      </c>
    </row>
    <row r="10" spans="1:4" ht="17" x14ac:dyDescent="0.2">
      <c r="A10" s="3" t="s">
        <v>417</v>
      </c>
      <c r="B10" s="35">
        <f>INDEX(Model!$L$2:$L$17,MATCH(Inputs!$B$24,Model!$A$2:$A$17,0))</f>
        <v>2048980612</v>
      </c>
      <c r="C10" s="3" t="s">
        <v>334</v>
      </c>
      <c r="D10" s="3" t="s">
        <v>418</v>
      </c>
    </row>
    <row r="11" spans="1:4" ht="17" x14ac:dyDescent="0.2">
      <c r="A11" s="3" t="s">
        <v>374</v>
      </c>
      <c r="B11" s="35">
        <f>INDEX(Model!$K$2:$K$17,MATCH(Inputs!$B$24,Model!$A$2:$A$17,0))</f>
        <v>123779855.58662958</v>
      </c>
      <c r="C11" s="3" t="s">
        <v>88</v>
      </c>
      <c r="D11" s="3" t="s">
        <v>419</v>
      </c>
    </row>
    <row r="12" spans="1:4" ht="17" x14ac:dyDescent="0.2">
      <c r="A12" s="3" t="s">
        <v>379</v>
      </c>
      <c r="B12" s="35">
        <f>INDEX(Model!$P$2:$P$17,MATCH(Inputs!$B$24,Model!$A$2:$A$17,0))</f>
        <v>123779855.58662958</v>
      </c>
      <c r="C12" s="3" t="s">
        <v>88</v>
      </c>
      <c r="D12" s="3" t="s">
        <v>420</v>
      </c>
    </row>
    <row r="13" spans="1:4" ht="17" x14ac:dyDescent="0.2">
      <c r="A13" s="3" t="s">
        <v>376</v>
      </c>
      <c r="B13" s="31">
        <f>INDEX(Model!$M$2:$M$17,MATCH(Inputs!$B$24,Model!$A$2:$A$17,0))</f>
        <v>6.0410457210626642E-2</v>
      </c>
      <c r="C13" s="3" t="s">
        <v>421</v>
      </c>
      <c r="D13" s="3" t="s">
        <v>422</v>
      </c>
    </row>
    <row r="14" spans="1:4" ht="17" x14ac:dyDescent="0.2">
      <c r="A14" s="3" t="s">
        <v>377</v>
      </c>
      <c r="B14" s="35">
        <f>INDEX(Model!$N$2:$N$17,MATCH(Inputs!$B$24,Model!$A$2:$A$17,0))</f>
        <v>0</v>
      </c>
      <c r="C14" s="3" t="s">
        <v>88</v>
      </c>
      <c r="D14" s="3" t="s">
        <v>423</v>
      </c>
    </row>
    <row r="15" spans="1:4" ht="17" x14ac:dyDescent="0.2">
      <c r="A15" s="3" t="s">
        <v>424</v>
      </c>
      <c r="B15" s="31">
        <f>IF(B7&gt;=1,0,MIN(1,MAX(0,(1-(('Alaska Base'!$C$2*(1-10%))*B5/'Alaska Base'!$C$3/B6/(1-B7)*(1-'Alaska Base'!$C$19*Inputs!$B$8)))/Inputs!$B$8)))</f>
        <v>3.6799936527956711E-2</v>
      </c>
      <c r="C15" s="3" t="s">
        <v>312</v>
      </c>
      <c r="D15" s="3" t="s">
        <v>425</v>
      </c>
    </row>
    <row r="16" spans="1:4" ht="17" x14ac:dyDescent="0.2">
      <c r="A16" s="3" t="s">
        <v>426</v>
      </c>
      <c r="B16" s="31">
        <f>IF(B7&gt;=1,0,MIN(1,MAX(0,(1-(('Alaska Base'!$C$2*(1-14%))*B5/'Alaska Base'!$C$3/B6/(1-B7)*(1-'Alaska Base'!$C$19*Inputs!$B$8)))/Inputs!$B$8)))</f>
        <v>9.0719939348936629E-2</v>
      </c>
      <c r="C16" s="3" t="s">
        <v>312</v>
      </c>
      <c r="D16" s="3" t="s">
        <v>427</v>
      </c>
    </row>
    <row r="17" spans="1:4" ht="17" x14ac:dyDescent="0.2">
      <c r="A17" s="3" t="s">
        <v>428</v>
      </c>
      <c r="B17" s="35">
        <f>B15*INDEX(Model!$I$2:$I$17,MATCH(Inputs!$B$24,Model!$A$2:$A$17,0))</f>
        <v>45550908.290276162</v>
      </c>
      <c r="C17" s="3" t="s">
        <v>88</v>
      </c>
      <c r="D17" s="3" t="s">
        <v>429</v>
      </c>
    </row>
    <row r="18" spans="1:4" ht="17" x14ac:dyDescent="0.2">
      <c r="A18" s="3" t="s">
        <v>430</v>
      </c>
      <c r="B18" s="35">
        <f>B16*INDEX(Model!$I$2:$I$17,MATCH(Inputs!$B$24,Model!$A$2:$A$17,0))</f>
        <v>112293009.91439171</v>
      </c>
      <c r="C18" s="3" t="s">
        <v>88</v>
      </c>
      <c r="D18" s="3" t="s">
        <v>431</v>
      </c>
    </row>
    <row r="19" spans="1:4" ht="17" x14ac:dyDescent="0.2">
      <c r="A19" s="3" t="s">
        <v>432</v>
      </c>
      <c r="B19" s="31">
        <f>IF(B10=0,NA(),B17/B10)</f>
        <v>2.2231009909759049E-2</v>
      </c>
      <c r="C19" s="3" t="s">
        <v>421</v>
      </c>
      <c r="D19" s="3" t="s">
        <v>433</v>
      </c>
    </row>
    <row r="20" spans="1:4" ht="17" x14ac:dyDescent="0.2">
      <c r="A20" s="37" t="s">
        <v>434</v>
      </c>
      <c r="B20" s="46">
        <f>IF(B10=0,NA(),B18/B10)</f>
        <v>5.4804330141895806E-2</v>
      </c>
      <c r="C20" s="37" t="s">
        <v>421</v>
      </c>
      <c r="D20" s="37" t="s">
        <v>433</v>
      </c>
    </row>
    <row r="21" spans="1:4" ht="17" x14ac:dyDescent="0.2">
      <c r="A21" s="3" t="s">
        <v>435</v>
      </c>
      <c r="B21" s="30">
        <f>INDEX(Model!$AB$2:$AB$17,MATCH(Inputs!$B$24,Model!$A$2:$A$17,0))</f>
        <v>1.1858307984939795</v>
      </c>
      <c r="C21" s="3" t="s">
        <v>436</v>
      </c>
      <c r="D21" s="3" t="s">
        <v>437</v>
      </c>
    </row>
    <row r="22" spans="1:4" ht="17" x14ac:dyDescent="0.2">
      <c r="A22" s="3" t="s">
        <v>392</v>
      </c>
      <c r="B22" s="31">
        <f>INDEX(Model!$AC$2:$AC$17,MATCH(Inputs!$B$24,Model!$A$2:$A$17,0))</f>
        <v>0.14688431763023047</v>
      </c>
      <c r="C22" s="3" t="s">
        <v>312</v>
      </c>
      <c r="D22" s="3" t="s">
        <v>438</v>
      </c>
    </row>
    <row r="23" spans="1:4" ht="17" x14ac:dyDescent="0.2">
      <c r="A23" s="3" t="s">
        <v>439</v>
      </c>
      <c r="B23" s="31" t="str">
        <f>IF(B21&lt;='Alaska Base'!$C$2*(1-14%),"Meets 14% target",IF(B21&lt;='Alaska Base'!$C$2*(1-10%),"Within 10%–14% target range","Misses 2030 target"))</f>
        <v>Meets 14% target</v>
      </c>
      <c r="C23" s="3"/>
      <c r="D23" s="3" t="s">
        <v>440</v>
      </c>
    </row>
    <row r="24" spans="1:4" ht="17" x14ac:dyDescent="0.2">
      <c r="A24" s="3" t="s">
        <v>388</v>
      </c>
      <c r="B24" s="36">
        <f>INDEX(Model!$Y$2:$Y$17,MATCH(Inputs!$B$24,Model!$A$2:$A$17,0))</f>
        <v>15991017444.7481</v>
      </c>
      <c r="C24" s="3" t="s">
        <v>99</v>
      </c>
      <c r="D24" s="3" t="s">
        <v>441</v>
      </c>
    </row>
    <row r="25" spans="1:4" ht="17" x14ac:dyDescent="0.2">
      <c r="A25" s="3" t="s">
        <v>386</v>
      </c>
      <c r="B25" s="36">
        <f>INDEX(Model!$W$2:$W$17,MATCH(Inputs!$B$24,Model!$A$2:$A$17,0))</f>
        <v>314640276.18185711</v>
      </c>
      <c r="C25" s="3" t="s">
        <v>99</v>
      </c>
      <c r="D25" s="3" t="s">
        <v>442</v>
      </c>
    </row>
    <row r="26" spans="1:4" ht="17" x14ac:dyDescent="0.2">
      <c r="A26" s="3" t="s">
        <v>387</v>
      </c>
      <c r="B26" s="36">
        <f>INDEX(Model!$X$2:$X$17,MATCH(Inputs!$B$24,Model!$A$2:$A$17,0))</f>
        <v>0</v>
      </c>
      <c r="C26" s="3" t="s">
        <v>99</v>
      </c>
      <c r="D26" s="3" t="s">
        <v>443</v>
      </c>
    </row>
    <row r="27" spans="1:4" ht="17" x14ac:dyDescent="0.2">
      <c r="A27" s="3" t="s">
        <v>389</v>
      </c>
      <c r="B27" s="31">
        <f>INDEX(Model!$Z$2:$Z$17,MATCH(Inputs!$B$24,Model!$A$2:$A$17,0))</f>
        <v>1.9676063594389601E-2</v>
      </c>
      <c r="C27" s="3" t="s">
        <v>444</v>
      </c>
      <c r="D27" s="3" t="s">
        <v>445</v>
      </c>
    </row>
    <row r="28" spans="1:4" ht="17" x14ac:dyDescent="0.2">
      <c r="A28" s="3" t="s">
        <v>446</v>
      </c>
      <c r="B28" s="31">
        <f>INDEX('Capital Allocation'!$E$4:$E$9,MATCH(2030,'Capital Allocation'!$A$4:$A$9,0))</f>
        <v>6.5661863207137544E-2</v>
      </c>
      <c r="C28" s="3" t="s">
        <v>444</v>
      </c>
      <c r="D28" s="3" t="s">
        <v>447</v>
      </c>
    </row>
    <row r="29" spans="1:4" ht="17" x14ac:dyDescent="0.2">
      <c r="A29" s="37" t="s">
        <v>448</v>
      </c>
      <c r="B29" s="46">
        <f>INDEX('Capital Allocation'!$J$4:$J$9,MATCH(2030,'Capital Allocation'!$A$4:$A$9,0))</f>
        <v>8.5337926801527145E-2</v>
      </c>
      <c r="C29" s="37" t="s">
        <v>444</v>
      </c>
      <c r="D29" s="37" t="s">
        <v>449</v>
      </c>
    </row>
    <row r="30" spans="1:4" x14ac:dyDescent="0.2">
      <c r="A30" s="3"/>
      <c r="B30" s="31"/>
      <c r="C30" s="3"/>
      <c r="D30" s="3"/>
    </row>
    <row r="31" spans="1:4" x14ac:dyDescent="0.2">
      <c r="A31" s="3"/>
      <c r="B31" s="31"/>
      <c r="C31" s="3"/>
      <c r="D31" s="3"/>
    </row>
    <row r="32" spans="1:4" ht="17" x14ac:dyDescent="0.2">
      <c r="A32" s="68" t="s">
        <v>450</v>
      </c>
      <c r="B32" s="77" t="s">
        <v>35</v>
      </c>
      <c r="C32" s="68" t="s">
        <v>36</v>
      </c>
      <c r="D32" s="68" t="s">
        <v>408</v>
      </c>
    </row>
    <row r="33" spans="1:4" ht="17" x14ac:dyDescent="0.2">
      <c r="A33" s="37" t="s">
        <v>366</v>
      </c>
      <c r="B33" s="78">
        <f>INDEX(Model!$C$2:$C$17,MATCH(Inputs!$B$25,Model!$A$2:$A$17,0))</f>
        <v>1.4593706065247025</v>
      </c>
      <c r="C33" s="37" t="s">
        <v>409</v>
      </c>
      <c r="D33" s="37" t="s">
        <v>410</v>
      </c>
    </row>
    <row r="34" spans="1:4" ht="17" x14ac:dyDescent="0.2">
      <c r="A34" s="3" t="s">
        <v>367</v>
      </c>
      <c r="B34" s="30">
        <f>INDEX(Model!$D$2:$D$17,MATCH(Inputs!$B$25,Model!$A$2:$A$17,0))</f>
        <v>1.1280636790581728</v>
      </c>
      <c r="C34" s="3" t="s">
        <v>409</v>
      </c>
      <c r="D34" s="3" t="s">
        <v>411</v>
      </c>
    </row>
    <row r="35" spans="1:4" ht="17" x14ac:dyDescent="0.2">
      <c r="A35" s="3" t="s">
        <v>368</v>
      </c>
      <c r="B35" s="31">
        <f>INDEX(Model!$E$2:$E$17,MATCH(Inputs!$B$25,Model!$A$2:$A$17,0))</f>
        <v>0</v>
      </c>
      <c r="C35" s="3" t="s">
        <v>312</v>
      </c>
      <c r="D35" s="3" t="s">
        <v>451</v>
      </c>
    </row>
    <row r="36" spans="1:4" ht="17" x14ac:dyDescent="0.2">
      <c r="A36" s="3" t="s">
        <v>370</v>
      </c>
      <c r="B36" s="31">
        <f>INDEX(Model!$G$2:$G$17,MATCH(Inputs!$B$25,Model!$A$2:$A$17,0))</f>
        <v>0</v>
      </c>
      <c r="C36" s="3" t="s">
        <v>312</v>
      </c>
      <c r="D36" s="3" t="s">
        <v>414</v>
      </c>
    </row>
    <row r="37" spans="1:4" ht="17" x14ac:dyDescent="0.2">
      <c r="A37" s="3" t="s">
        <v>373</v>
      </c>
      <c r="B37" s="31">
        <f>INDEX(Model!$J$2:$J$17,MATCH(Inputs!$B$25,Model!$A$2:$A$17,0))</f>
        <v>0.6</v>
      </c>
      <c r="C37" s="3" t="s">
        <v>312</v>
      </c>
      <c r="D37" s="3" t="s">
        <v>452</v>
      </c>
    </row>
    <row r="38" spans="1:4" ht="17" x14ac:dyDescent="0.2">
      <c r="A38" s="3" t="s">
        <v>378</v>
      </c>
      <c r="B38" s="31">
        <f>INDEX(Model!$O$2:$O$17,MATCH(Inputs!$B$25,Model!$A$2:$A$17,0))</f>
        <v>0.6</v>
      </c>
      <c r="C38" s="3" t="s">
        <v>312</v>
      </c>
      <c r="D38" s="3" t="s">
        <v>453</v>
      </c>
    </row>
    <row r="39" spans="1:4" ht="17" x14ac:dyDescent="0.2">
      <c r="A39" s="3" t="s">
        <v>417</v>
      </c>
      <c r="B39" s="35">
        <f>INDEX(Model!$L$2:$L$17,MATCH(Inputs!$B$25,Model!$A$2:$A$17,0))</f>
        <v>2912700000</v>
      </c>
      <c r="C39" s="3" t="s">
        <v>334</v>
      </c>
      <c r="D39" s="3" t="s">
        <v>454</v>
      </c>
    </row>
    <row r="40" spans="1:4" ht="17" x14ac:dyDescent="0.2">
      <c r="A40" s="3" t="s">
        <v>376</v>
      </c>
      <c r="B40" s="31">
        <f>INDEX(Model!$M$2:$M$17,MATCH(Inputs!$B$25,Model!$A$2:$A$17,0))</f>
        <v>0.30540215047130898</v>
      </c>
      <c r="C40" s="3" t="s">
        <v>421</v>
      </c>
      <c r="D40" s="3" t="s">
        <v>422</v>
      </c>
    </row>
    <row r="41" spans="1:4" ht="17" x14ac:dyDescent="0.2">
      <c r="A41" s="3" t="s">
        <v>377</v>
      </c>
      <c r="B41" s="35">
        <f>INDEX(Model!$N$2:$N$17,MATCH(Inputs!$B$25,Model!$A$2:$A$17,0))</f>
        <v>0</v>
      </c>
      <c r="C41" s="3" t="s">
        <v>88</v>
      </c>
      <c r="D41" s="3" t="s">
        <v>455</v>
      </c>
    </row>
    <row r="42" spans="1:4" ht="17" x14ac:dyDescent="0.2">
      <c r="A42" s="3" t="s">
        <v>456</v>
      </c>
      <c r="B42" s="30">
        <f>INDEX(Model!$AB$2:$AB$17,MATCH(Inputs!$B$25,Model!$A$2:$A$17,0))</f>
        <v>0.61778289393793817</v>
      </c>
      <c r="C42" s="3" t="s">
        <v>436</v>
      </c>
      <c r="D42" s="3" t="s">
        <v>457</v>
      </c>
    </row>
    <row r="43" spans="1:4" ht="17" x14ac:dyDescent="0.2">
      <c r="A43" s="3" t="s">
        <v>392</v>
      </c>
      <c r="B43" s="31">
        <f>INDEX(Model!$AC$2:$AC$17,MATCH(Inputs!$B$25,Model!$A$2:$A$17,0))</f>
        <v>0.55555187486479263</v>
      </c>
      <c r="C43" s="3" t="s">
        <v>312</v>
      </c>
      <c r="D43" s="3" t="s">
        <v>458</v>
      </c>
    </row>
    <row r="44" spans="1:4" ht="17" x14ac:dyDescent="0.2">
      <c r="A44" s="3" t="s">
        <v>459</v>
      </c>
      <c r="B44" s="35">
        <f>INDEX(Model!$AG$2:$AG$17,MATCH(Inputs!$B$25,Model!$A$2:$A$17,0))</f>
        <v>7069104.9891821919</v>
      </c>
      <c r="C44" s="3" t="s">
        <v>106</v>
      </c>
      <c r="D44" s="3" t="s">
        <v>460</v>
      </c>
    </row>
    <row r="45" spans="1:4" ht="17" x14ac:dyDescent="0.2">
      <c r="A45" s="3" t="s">
        <v>461</v>
      </c>
      <c r="B45" s="35">
        <f>INDEX(Model!$AL$2:$AL$17,MATCH(Inputs!$B$25,Model!$A$2:$A$17,0))</f>
        <v>7117986.6076477375</v>
      </c>
      <c r="C45" s="3" t="s">
        <v>106</v>
      </c>
      <c r="D45" s="3" t="s">
        <v>462</v>
      </c>
    </row>
    <row r="46" spans="1:4" ht="17" x14ac:dyDescent="0.2">
      <c r="A46" s="3" t="s">
        <v>402</v>
      </c>
      <c r="B46" s="36">
        <f>INDEX(Model!$AM$2:$AM$17,MATCH(Inputs!$B$25,Model!$A$2:$A$17,0))</f>
        <v>200</v>
      </c>
      <c r="C46" s="3" t="s">
        <v>290</v>
      </c>
      <c r="D46" s="3" t="s">
        <v>463</v>
      </c>
    </row>
    <row r="47" spans="1:4" ht="17" x14ac:dyDescent="0.2">
      <c r="A47" s="3" t="s">
        <v>403</v>
      </c>
      <c r="B47" s="36">
        <f>INDEX(Model!$AN$2:$AN$17,MATCH(Inputs!$B$25,Model!$A$2:$A$17,0))</f>
        <v>1423597321.5295475</v>
      </c>
      <c r="C47" s="3" t="s">
        <v>99</v>
      </c>
      <c r="D47" s="3" t="s">
        <v>464</v>
      </c>
    </row>
    <row r="48" spans="1:4" ht="17" x14ac:dyDescent="0.2">
      <c r="A48" s="3" t="s">
        <v>386</v>
      </c>
      <c r="B48" s="36">
        <f>INDEX(Model!$W$2:$W$17,MATCH(Inputs!$B$25,Model!$A$2:$A$17,0))</f>
        <v>2646062337.4499702</v>
      </c>
      <c r="C48" s="3" t="s">
        <v>99</v>
      </c>
      <c r="D48" s="3" t="s">
        <v>442</v>
      </c>
    </row>
    <row r="49" spans="1:4" ht="17" x14ac:dyDescent="0.2">
      <c r="A49" s="3" t="s">
        <v>387</v>
      </c>
      <c r="B49" s="36">
        <f>INDEX(Model!$X$2:$X$17,MATCH(Inputs!$B$25,Model!$A$2:$A$17,0))</f>
        <v>0</v>
      </c>
      <c r="C49" s="3" t="s">
        <v>99</v>
      </c>
      <c r="D49" s="3" t="s">
        <v>465</v>
      </c>
    </row>
    <row r="50" spans="1:4" ht="17" x14ac:dyDescent="0.2">
      <c r="A50" s="3" t="s">
        <v>404</v>
      </c>
      <c r="B50" s="36">
        <f>INDEX(Model!$AO$2:$AO$17,MATCH(Inputs!$B$25,Model!$A$2:$A$17,0))</f>
        <v>4069659658.9795179</v>
      </c>
      <c r="C50" s="3" t="s">
        <v>99</v>
      </c>
      <c r="D50" s="3" t="s">
        <v>466</v>
      </c>
    </row>
    <row r="51" spans="1:4" ht="17" x14ac:dyDescent="0.2">
      <c r="A51" s="3" t="s">
        <v>405</v>
      </c>
      <c r="B51" s="31">
        <f>INDEX(Model!$AP$2:$AP$17,MATCH(Inputs!$B$25,Model!$A$2:$A$17,0))</f>
        <v>0.19584523361833939</v>
      </c>
      <c r="C51" s="3" t="s">
        <v>444</v>
      </c>
      <c r="D51" s="3" t="s">
        <v>467</v>
      </c>
    </row>
    <row r="52" spans="1:4" ht="17" x14ac:dyDescent="0.2">
      <c r="A52" s="3" t="s">
        <v>468</v>
      </c>
      <c r="B52" s="35">
        <f>MAX(0,B45-B45*Inputs!$B$22)</f>
        <v>0</v>
      </c>
      <c r="C52" s="3" t="s">
        <v>106</v>
      </c>
      <c r="D52" s="3" t="s">
        <v>469</v>
      </c>
    </row>
    <row r="53" spans="1:4" x14ac:dyDescent="0.2">
      <c r="A53" s="3"/>
      <c r="B53" s="36"/>
      <c r="C53" s="3"/>
      <c r="D53" s="3"/>
    </row>
    <row r="54" spans="1:4" x14ac:dyDescent="0.2">
      <c r="A54" s="3"/>
      <c r="B54" s="36"/>
      <c r="C54" s="3"/>
      <c r="D54" s="3"/>
    </row>
    <row r="55" spans="1:4" x14ac:dyDescent="0.2">
      <c r="A55" s="3"/>
      <c r="B55" s="36"/>
      <c r="C55" s="3"/>
      <c r="D55" s="3"/>
    </row>
    <row r="56" spans="1:4" x14ac:dyDescent="0.2">
      <c r="A56" s="3"/>
      <c r="B56" s="36"/>
      <c r="C56" s="3"/>
      <c r="D56" s="3"/>
    </row>
    <row r="57" spans="1:4" x14ac:dyDescent="0.2">
      <c r="A57" s="3"/>
      <c r="B57" s="31"/>
      <c r="C57" s="3"/>
      <c r="D57" s="3"/>
    </row>
    <row r="58" spans="1:4" x14ac:dyDescent="0.2">
      <c r="A58" s="3"/>
      <c r="B58" s="35"/>
      <c r="C58" s="3"/>
      <c r="D58" s="3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55"/>
  <sheetViews>
    <sheetView zoomScale="125" workbookViewId="0">
      <selection activeCell="G10" sqref="G10"/>
    </sheetView>
  </sheetViews>
  <sheetFormatPr baseColWidth="10" defaultColWidth="8.83203125" defaultRowHeight="16" x14ac:dyDescent="0.2"/>
  <cols>
    <col min="1" max="1" width="31" customWidth="1"/>
    <col min="2" max="2" width="17" customWidth="1"/>
    <col min="3" max="3" width="12" customWidth="1"/>
    <col min="4" max="5" width="3" customWidth="1"/>
    <col min="6" max="6" width="33" customWidth="1"/>
    <col min="7" max="7" width="19" customWidth="1"/>
    <col min="8" max="8" width="14" customWidth="1"/>
    <col min="9" max="10" width="3" customWidth="1"/>
    <col min="11" max="11" width="30" customWidth="1"/>
    <col min="12" max="12" width="18" customWidth="1"/>
    <col min="13" max="13" width="3" customWidth="1"/>
    <col min="14" max="14" width="14" customWidth="1"/>
    <col min="16" max="20" width="9" bestFit="1" customWidth="1"/>
    <col min="22" max="22" width="9" bestFit="1" customWidth="1"/>
    <col min="23" max="23" width="11.1640625" bestFit="1" customWidth="1"/>
    <col min="24" max="24" width="20.33203125" customWidth="1"/>
    <col min="25" max="25" width="11.1640625" bestFit="1" customWidth="1"/>
    <col min="26" max="26" width="12.1640625" bestFit="1" customWidth="1"/>
    <col min="29" max="29" width="9" bestFit="1" customWidth="1"/>
  </cols>
  <sheetData>
    <row r="1" spans="1:33" x14ac:dyDescent="0.2">
      <c r="A1" s="106" t="s">
        <v>470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33" x14ac:dyDescent="0.2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P2" t="s">
        <v>8</v>
      </c>
      <c r="Q2" t="s">
        <v>471</v>
      </c>
      <c r="R2" t="s">
        <v>472</v>
      </c>
      <c r="S2" t="s">
        <v>473</v>
      </c>
      <c r="T2" t="s">
        <v>15</v>
      </c>
      <c r="V2" t="s">
        <v>8</v>
      </c>
      <c r="W2" t="s">
        <v>474</v>
      </c>
      <c r="X2" t="s">
        <v>475</v>
      </c>
      <c r="Y2" t="s">
        <v>476</v>
      </c>
      <c r="Z2" t="s">
        <v>477</v>
      </c>
      <c r="AB2" t="s">
        <v>478</v>
      </c>
      <c r="AC2" t="s">
        <v>479</v>
      </c>
      <c r="AE2" t="s">
        <v>480</v>
      </c>
      <c r="AF2" t="s">
        <v>479</v>
      </c>
    </row>
    <row r="3" spans="1:33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P3">
        <f>Model!A2</f>
        <v>2025</v>
      </c>
      <c r="Q3" s="45">
        <f>Model!AB2</f>
        <v>1.33</v>
      </c>
      <c r="R3">
        <f>'Alaska Base'!$C$2*(1-10%)</f>
        <v>1.2509999999999999</v>
      </c>
      <c r="S3">
        <f>'Alaska Base'!$C$2*(1-14%)</f>
        <v>1.1953999999999998</v>
      </c>
      <c r="T3">
        <v>0</v>
      </c>
      <c r="V3">
        <f>'SAF Supply'!A11</f>
        <v>2025</v>
      </c>
      <c r="W3">
        <f>'SAF Supply'!D11</f>
        <v>287728509</v>
      </c>
      <c r="X3">
        <f>'SAF Supply'!E11</f>
        <v>287728509</v>
      </c>
      <c r="Y3">
        <f>'SAF Supply'!L11</f>
        <v>287728509</v>
      </c>
      <c r="Z3">
        <f>'SAF Supply'!M11</f>
        <v>10891144</v>
      </c>
      <c r="AB3" t="s">
        <v>481</v>
      </c>
      <c r="AC3">
        <f>Outputs!B15*100</f>
        <v>3.6799936527956714</v>
      </c>
      <c r="AE3" t="s">
        <v>482</v>
      </c>
      <c r="AF3">
        <f>Outputs!B28*100</f>
        <v>6.5661863207137543</v>
      </c>
      <c r="AG3" s="33"/>
    </row>
    <row r="4" spans="1:33" x14ac:dyDescent="0.2">
      <c r="A4" s="107" t="s">
        <v>483</v>
      </c>
      <c r="B4" s="107"/>
      <c r="C4" s="107"/>
      <c r="D4" s="107"/>
      <c r="E4" s="3"/>
      <c r="F4" s="107" t="s">
        <v>484</v>
      </c>
      <c r="G4" s="107"/>
      <c r="H4" s="107"/>
      <c r="I4" s="107"/>
      <c r="J4" s="3"/>
      <c r="K4" s="107" t="s">
        <v>485</v>
      </c>
      <c r="L4" s="107"/>
      <c r="M4" s="107"/>
      <c r="N4" s="107"/>
      <c r="P4">
        <f>Model!A3</f>
        <v>2026</v>
      </c>
      <c r="Q4" s="45">
        <f>Model!AB3</f>
        <v>1.3003694167969202</v>
      </c>
      <c r="R4">
        <f>'Alaska Base'!$C$2*(1-10%)</f>
        <v>1.2509999999999999</v>
      </c>
      <c r="S4">
        <f>'Alaska Base'!$C$2*(1-14%)</f>
        <v>1.1953999999999998</v>
      </c>
      <c r="T4">
        <v>0</v>
      </c>
      <c r="V4">
        <f>'SAF Supply'!A12</f>
        <v>2026</v>
      </c>
      <c r="W4">
        <f>'SAF Supply'!D12</f>
        <v>426082685.12217546</v>
      </c>
      <c r="X4">
        <f>'SAF Supply'!E12</f>
        <v>343382445.84483087</v>
      </c>
      <c r="Y4">
        <f>'SAF Supply'!L12</f>
        <v>426082685.12217546</v>
      </c>
      <c r="Z4">
        <f>'SAF Supply'!M12</f>
        <v>32077747.184913211</v>
      </c>
      <c r="AB4" t="s">
        <v>486</v>
      </c>
      <c r="AC4">
        <f>Outputs!B16*100</f>
        <v>9.071993934893662</v>
      </c>
      <c r="AE4" t="s">
        <v>487</v>
      </c>
      <c r="AF4">
        <f>Outputs!B27*100</f>
        <v>1.9676063594389601</v>
      </c>
      <c r="AG4" s="33"/>
    </row>
    <row r="5" spans="1:33" ht="17" x14ac:dyDescent="0.2">
      <c r="A5" s="39" t="s">
        <v>488</v>
      </c>
      <c r="B5" s="40">
        <f>Outputs!B8</f>
        <v>0.1</v>
      </c>
      <c r="C5" s="3"/>
      <c r="D5" s="3"/>
      <c r="E5" s="3"/>
      <c r="F5" s="39" t="s">
        <v>297</v>
      </c>
      <c r="G5" s="42" t="str">
        <f>Inputs!B16</f>
        <v>Base</v>
      </c>
      <c r="H5" s="3"/>
      <c r="I5" s="3"/>
      <c r="J5" s="3"/>
      <c r="K5" s="39" t="s">
        <v>489</v>
      </c>
      <c r="L5" s="48">
        <f>Outputs!B24</f>
        <v>15991017444.7481</v>
      </c>
      <c r="M5" s="3"/>
      <c r="N5" s="3"/>
      <c r="P5">
        <f>Model!A4</f>
        <v>2027</v>
      </c>
      <c r="Q5" s="45">
        <f>Model!AB4</f>
        <v>1.2711037893833141</v>
      </c>
      <c r="R5">
        <f>'Alaska Base'!$C$2*(1-10%)</f>
        <v>1.2509999999999999</v>
      </c>
      <c r="S5">
        <f>'Alaska Base'!$C$2*(1-14%)</f>
        <v>1.1953999999999998</v>
      </c>
      <c r="T5">
        <v>0</v>
      </c>
      <c r="V5">
        <f>'SAF Supply'!A13</f>
        <v>2027</v>
      </c>
      <c r="W5">
        <f>'SAF Supply'!D13</f>
        <v>630964429.60027623</v>
      </c>
      <c r="X5">
        <f>'SAF Supply'!E13</f>
        <v>409801255.09348887</v>
      </c>
      <c r="Y5">
        <f>'SAF Supply'!L13</f>
        <v>630964429.60027623</v>
      </c>
      <c r="Z5">
        <f>'SAF Supply'!M13</f>
        <v>53952468.466339573</v>
      </c>
      <c r="AB5" t="s">
        <v>490</v>
      </c>
      <c r="AC5">
        <f>Outputs!B8*100</f>
        <v>10</v>
      </c>
      <c r="AE5" t="s">
        <v>293</v>
      </c>
      <c r="AF5">
        <f>Inputs!B15*100</f>
        <v>0</v>
      </c>
      <c r="AG5" s="33"/>
    </row>
    <row r="6" spans="1:33" ht="17" x14ac:dyDescent="0.2">
      <c r="A6" s="39" t="s">
        <v>491</v>
      </c>
      <c r="B6" s="40">
        <f>Outputs!B9</f>
        <v>0.1</v>
      </c>
      <c r="C6" s="3"/>
      <c r="D6" s="3"/>
      <c r="E6" s="3"/>
      <c r="F6" s="39" t="s">
        <v>492</v>
      </c>
      <c r="G6" s="42">
        <f>Outputs!B10</f>
        <v>2048980612</v>
      </c>
      <c r="H6" s="3"/>
      <c r="I6" s="3"/>
      <c r="J6" s="3"/>
      <c r="K6" s="39" t="s">
        <v>493</v>
      </c>
      <c r="L6" s="40">
        <f>Outputs!B27</f>
        <v>1.9676063594389601E-2</v>
      </c>
      <c r="M6" s="3"/>
      <c r="N6" s="3"/>
      <c r="P6">
        <f>Model!A5</f>
        <v>2028</v>
      </c>
      <c r="Q6">
        <f>Model!AB5</f>
        <v>1.2420646725984295</v>
      </c>
      <c r="R6">
        <f>'Alaska Base'!$C$2*(1-10%)</f>
        <v>1.2509999999999999</v>
      </c>
      <c r="S6">
        <f>'Alaska Base'!$C$2*(1-14%)</f>
        <v>1.1953999999999998</v>
      </c>
      <c r="T6">
        <v>0</v>
      </c>
      <c r="V6">
        <f>'SAF Supply'!A14</f>
        <v>2028</v>
      </c>
      <c r="W6">
        <f>'SAF Supply'!D14</f>
        <v>934363505.77504802</v>
      </c>
      <c r="X6">
        <f>'SAF Supply'!E14</f>
        <v>489067134.06103134</v>
      </c>
      <c r="Y6">
        <f>'SAF Supply'!L14</f>
        <v>934363505.77504802</v>
      </c>
      <c r="Z6">
        <f>'SAF Supply'!M14</f>
        <v>76502794.760871723</v>
      </c>
      <c r="AB6" t="s">
        <v>494</v>
      </c>
      <c r="AC6">
        <f>Outputs!B9*100</f>
        <v>10</v>
      </c>
      <c r="AG6" s="33"/>
    </row>
    <row r="7" spans="1:33" ht="17" x14ac:dyDescent="0.2">
      <c r="A7" s="39" t="s">
        <v>495</v>
      </c>
      <c r="B7" s="40">
        <f>Outputs!B16</f>
        <v>9.0719939348936629E-2</v>
      </c>
      <c r="C7" s="3"/>
      <c r="D7" s="3"/>
      <c r="E7" s="3"/>
      <c r="F7" s="39" t="s">
        <v>496</v>
      </c>
      <c r="G7" s="42">
        <f>Inputs!B29</f>
        <v>3000000000</v>
      </c>
      <c r="H7" s="3"/>
      <c r="I7" s="3"/>
      <c r="J7" s="3"/>
      <c r="K7" s="39" t="s">
        <v>497</v>
      </c>
      <c r="L7" s="40">
        <f>Outputs!B28</f>
        <v>6.5661863207137544E-2</v>
      </c>
      <c r="M7" s="3"/>
      <c r="N7" s="3"/>
      <c r="P7">
        <f>Model!A6</f>
        <v>2029</v>
      </c>
      <c r="Q7">
        <f>Model!AB6</f>
        <v>1.21380176733843</v>
      </c>
      <c r="R7">
        <f>'Alaska Base'!$C$2*(1-10%)</f>
        <v>1.2509999999999999</v>
      </c>
      <c r="S7">
        <f>'Alaska Base'!$C$2*(1-14%)</f>
        <v>1.1953999999999998</v>
      </c>
      <c r="T7">
        <v>0</v>
      </c>
      <c r="V7">
        <f>'SAF Supply'!A15</f>
        <v>2029</v>
      </c>
      <c r="W7">
        <f>'SAF Supply'!D15</f>
        <v>1383651946.0808864</v>
      </c>
      <c r="X7">
        <f>'SAF Supply'!E15</f>
        <v>583665029.43995285</v>
      </c>
      <c r="Y7">
        <f>'SAF Supply'!L15</f>
        <v>1383651946.0808864</v>
      </c>
      <c r="Z7">
        <f>'SAF Supply'!M15</f>
        <v>99781095.739008501</v>
      </c>
      <c r="AG7" s="33"/>
    </row>
    <row r="8" spans="1:33" ht="17" x14ac:dyDescent="0.2">
      <c r="A8" s="39" t="s">
        <v>498</v>
      </c>
      <c r="B8" s="41">
        <f>Outputs!B21</f>
        <v>1.1858307984939795</v>
      </c>
      <c r="C8" s="3"/>
      <c r="D8" s="3"/>
      <c r="E8" s="3"/>
      <c r="F8" s="39" t="s">
        <v>499</v>
      </c>
      <c r="G8" s="42">
        <f>Outputs!B11</f>
        <v>123779855.58662958</v>
      </c>
      <c r="H8" s="3"/>
      <c r="I8" s="3"/>
      <c r="J8" s="3"/>
      <c r="K8" s="39" t="s">
        <v>500</v>
      </c>
      <c r="L8" s="40">
        <f>Inputs!B15</f>
        <v>0</v>
      </c>
      <c r="M8" s="3"/>
      <c r="N8" s="3"/>
      <c r="P8">
        <f>Model!A7</f>
        <v>2030</v>
      </c>
      <c r="Q8">
        <f>Model!AB7</f>
        <v>1.1858307984939795</v>
      </c>
      <c r="R8">
        <f>'Alaska Base'!$C$2*(1-10%)</f>
        <v>1.2509999999999999</v>
      </c>
      <c r="S8">
        <f>'Alaska Base'!$C$2*(1-14%)</f>
        <v>1.1953999999999998</v>
      </c>
      <c r="T8">
        <v>0</v>
      </c>
      <c r="V8">
        <f>'SAF Supply'!A16</f>
        <v>2030</v>
      </c>
      <c r="W8">
        <f>'SAF Supply'!D16</f>
        <v>2048980612</v>
      </c>
      <c r="X8">
        <f>'SAF Supply'!E16</f>
        <v>696560539.16849184</v>
      </c>
      <c r="Y8">
        <f>'SAF Supply'!L16</f>
        <v>2048980612</v>
      </c>
      <c r="Z8">
        <f>'SAF Supply'!M16</f>
        <v>123779855.58662958</v>
      </c>
      <c r="AG8" s="33"/>
    </row>
    <row r="9" spans="1:33" ht="34" x14ac:dyDescent="0.2">
      <c r="A9" s="39" t="s">
        <v>392</v>
      </c>
      <c r="B9" s="40">
        <f>Outputs!B22</f>
        <v>0.14688431763023047</v>
      </c>
      <c r="C9" s="3"/>
      <c r="D9" s="3"/>
      <c r="E9" s="3"/>
      <c r="F9" s="39" t="s">
        <v>501</v>
      </c>
      <c r="G9" s="40">
        <f>Outputs!B13</f>
        <v>6.0410457210626642E-2</v>
      </c>
      <c r="H9" s="3"/>
      <c r="I9" s="3"/>
      <c r="J9" s="3"/>
      <c r="K9" s="39" t="s">
        <v>502</v>
      </c>
      <c r="L9" s="40">
        <f>Outputs!B29</f>
        <v>8.5337926801527145E-2</v>
      </c>
      <c r="M9" s="3"/>
      <c r="N9" s="3"/>
      <c r="P9">
        <f>Model!A8</f>
        <v>2031</v>
      </c>
      <c r="Q9">
        <f>Model!AB8</f>
        <v>1.1254324613748929</v>
      </c>
      <c r="R9">
        <f>'Alaska Base'!$C$2*(1-10%)</f>
        <v>1.2509999999999999</v>
      </c>
      <c r="S9">
        <f>'Alaska Base'!$C$2*(1-14%)</f>
        <v>1.1953999999999998</v>
      </c>
      <c r="T9">
        <v>0</v>
      </c>
      <c r="V9">
        <f>'SAF Supply'!A17</f>
        <v>2031</v>
      </c>
      <c r="W9">
        <f>'SAF Supply'!D17</f>
        <v>2198312504.9700179</v>
      </c>
      <c r="X9">
        <f>'SAF Supply'!E17</f>
        <v>831292882.48134935</v>
      </c>
      <c r="Y9">
        <f>'SAF Supply'!L17</f>
        <v>2198312504.9700179</v>
      </c>
      <c r="Z9">
        <f>'SAF Supply'!M17</f>
        <v>188614754.43595555</v>
      </c>
      <c r="AG9" s="33"/>
    </row>
    <row r="10" spans="1:33" ht="17" x14ac:dyDescent="0.2">
      <c r="A10" s="39" t="s">
        <v>503</v>
      </c>
      <c r="B10" s="47" t="str">
        <f>Outputs!B23</f>
        <v>Meets 14% target</v>
      </c>
      <c r="C10" s="3"/>
      <c r="D10" s="3"/>
      <c r="E10" s="3"/>
      <c r="F10" s="39" t="s">
        <v>504</v>
      </c>
      <c r="G10" s="42">
        <f>Outputs!B14</f>
        <v>0</v>
      </c>
      <c r="H10" s="3"/>
      <c r="I10" s="3"/>
      <c r="J10" s="3"/>
      <c r="K10" s="39" t="s">
        <v>505</v>
      </c>
      <c r="L10" s="40">
        <f>Inputs!B10</f>
        <v>0</v>
      </c>
      <c r="M10" s="3"/>
      <c r="N10" s="3"/>
      <c r="P10">
        <f>Model!A9</f>
        <v>2032</v>
      </c>
      <c r="Q10">
        <f>Model!AB9</f>
        <v>1.0653608269934303</v>
      </c>
      <c r="R10">
        <f>'Alaska Base'!$C$2*(1-10%)</f>
        <v>1.2509999999999999</v>
      </c>
      <c r="S10">
        <f>'Alaska Base'!$C$2*(1-14%)</f>
        <v>1.1953999999999998</v>
      </c>
      <c r="T10">
        <v>0</v>
      </c>
      <c r="V10">
        <f>'SAF Supply'!A18</f>
        <v>2032</v>
      </c>
      <c r="W10">
        <f>'SAF Supply'!D18</f>
        <v>2358527865.6153307</v>
      </c>
      <c r="X10">
        <f>'SAF Supply'!E18</f>
        <v>992085852.70862138</v>
      </c>
      <c r="Y10">
        <f>'SAF Supply'!L18</f>
        <v>2358527865.6153307</v>
      </c>
      <c r="Z10">
        <f>'SAF Supply'!M18</f>
        <v>256422292.13006049</v>
      </c>
      <c r="AG10" s="33"/>
    </row>
    <row r="11" spans="1:33" ht="17" x14ac:dyDescent="0.2">
      <c r="A11" s="3" t="s">
        <v>506</v>
      </c>
      <c r="B11" s="30">
        <f>Outputs!B5</f>
        <v>1.0397555638329248</v>
      </c>
      <c r="C11" s="3"/>
      <c r="D11" s="3"/>
      <c r="E11" s="3"/>
      <c r="F11" s="3" t="s">
        <v>500</v>
      </c>
      <c r="G11" s="31">
        <f>Inputs!B15</f>
        <v>0</v>
      </c>
      <c r="H11" s="3"/>
      <c r="I11" s="3"/>
      <c r="J11" s="3"/>
      <c r="K11" s="3" t="s">
        <v>507</v>
      </c>
      <c r="L11" s="49">
        <f>Outputs!B25</f>
        <v>314640276.18185711</v>
      </c>
      <c r="M11" s="3"/>
      <c r="N11" s="3"/>
      <c r="P11">
        <f>Model!A10</f>
        <v>2033</v>
      </c>
      <c r="Q11">
        <f>Model!AB10</f>
        <v>1.0061858530015373</v>
      </c>
      <c r="R11">
        <f>'Alaska Base'!$C$2*(1-10%)</f>
        <v>1.2509999999999999</v>
      </c>
      <c r="S11">
        <f>'Alaska Base'!$C$2*(1-14%)</f>
        <v>1.1953999999999998</v>
      </c>
      <c r="T11">
        <v>0</v>
      </c>
      <c r="V11">
        <f>'SAF Supply'!A19</f>
        <v>2033</v>
      </c>
      <c r="W11">
        <f>'SAF Supply'!D19</f>
        <v>2530419892.6712089</v>
      </c>
      <c r="X11">
        <f>'SAF Supply'!E19</f>
        <v>1183980231.1391432</v>
      </c>
      <c r="Y11">
        <f>'SAF Supply'!L19</f>
        <v>2530419892.6712089</v>
      </c>
      <c r="Z11">
        <f>'SAF Supply'!M19</f>
        <v>326811461.76991034</v>
      </c>
      <c r="AG11" s="33"/>
    </row>
    <row r="12" spans="1:33" x14ac:dyDescent="0.2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P12">
        <f>Model!A11</f>
        <v>2034</v>
      </c>
      <c r="Q12">
        <f>Model!AB11</f>
        <v>0.94800968264649832</v>
      </c>
      <c r="R12">
        <f>'Alaska Base'!$C$2*(1-10%)</f>
        <v>1.2509999999999999</v>
      </c>
      <c r="S12">
        <f>'Alaska Base'!$C$2*(1-14%)</f>
        <v>1.1953999999999998</v>
      </c>
      <c r="T12">
        <v>0</v>
      </c>
      <c r="V12">
        <f>'SAF Supply'!A20</f>
        <v>2034</v>
      </c>
      <c r="W12">
        <f>'SAF Supply'!D20</f>
        <v>2714839594.0429754</v>
      </c>
      <c r="X12">
        <f>'SAF Supply'!E20</f>
        <v>1412991813.0583553</v>
      </c>
      <c r="Y12">
        <f>'SAF Supply'!L20</f>
        <v>2714839594.0429754</v>
      </c>
      <c r="Z12">
        <f>'SAF Supply'!M20</f>
        <v>399898884.74419606</v>
      </c>
      <c r="AG12" s="33"/>
    </row>
    <row r="13" spans="1:33" x14ac:dyDescent="0.2">
      <c r="A13" s="111" t="s">
        <v>508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P13">
        <f>Model!A12</f>
        <v>2035</v>
      </c>
      <c r="Q13">
        <f>Model!AB12</f>
        <v>0.89076594374372753</v>
      </c>
      <c r="R13">
        <f>'Alaska Base'!$C$2*(1-10%)</f>
        <v>1.2509999999999999</v>
      </c>
      <c r="S13">
        <f>'Alaska Base'!$C$2*(1-14%)</f>
        <v>1.1953999999999998</v>
      </c>
      <c r="T13">
        <v>0</v>
      </c>
      <c r="V13">
        <f>'SAF Supply'!A21</f>
        <v>2035</v>
      </c>
      <c r="W13">
        <f>'SAF Supply'!D21</f>
        <v>2912700000</v>
      </c>
      <c r="X13">
        <f>'SAF Supply'!E21</f>
        <v>1686300000</v>
      </c>
      <c r="Y13">
        <f>'SAF Supply'!L21</f>
        <v>2912700000</v>
      </c>
      <c r="Z13">
        <f>'SAF Supply'!M21</f>
        <v>475761852.2313208</v>
      </c>
      <c r="AG13" s="33"/>
    </row>
    <row r="14" spans="1:33" ht="17" x14ac:dyDescent="0.2">
      <c r="A14" s="87" t="s">
        <v>373</v>
      </c>
      <c r="B14" s="87">
        <f>Outputs!B37</f>
        <v>0.6</v>
      </c>
      <c r="C14" s="80"/>
      <c r="D14" s="80"/>
      <c r="E14" s="81"/>
      <c r="F14" s="87" t="s">
        <v>402</v>
      </c>
      <c r="G14" s="97">
        <f>Outputs!B46</f>
        <v>200</v>
      </c>
      <c r="H14" s="82"/>
      <c r="I14" s="83"/>
      <c r="J14" s="80"/>
      <c r="K14" s="81"/>
      <c r="L14" s="84"/>
      <c r="M14" s="82"/>
      <c r="N14" s="84"/>
      <c r="P14">
        <f>Model!A13</f>
        <v>2036</v>
      </c>
      <c r="Q14">
        <f>Model!AB13</f>
        <v>0.83444102515220164</v>
      </c>
      <c r="R14">
        <f>'Alaska Base'!$C$2*(1-10%)</f>
        <v>1.2509999999999999</v>
      </c>
      <c r="S14">
        <f>'Alaska Base'!$C$2*(1-14%)</f>
        <v>1.1953999999999998</v>
      </c>
      <c r="T14">
        <v>0</v>
      </c>
      <c r="V14">
        <f>'SAF Supply'!A22</f>
        <v>2036</v>
      </c>
      <c r="W14">
        <f>'SAF Supply'!D22</f>
        <v>3203970000.0000005</v>
      </c>
      <c r="X14">
        <f>'SAF Supply'!E22</f>
        <v>1854930000.0000002</v>
      </c>
      <c r="Y14">
        <f>'SAF Supply'!L22</f>
        <v>3203970000.0000005</v>
      </c>
      <c r="Z14">
        <f>'SAF Supply'!M22</f>
        <v>554495335.19184911</v>
      </c>
      <c r="AG14" s="33"/>
    </row>
    <row r="15" spans="1:33" ht="17" x14ac:dyDescent="0.2">
      <c r="A15" s="88" t="s">
        <v>378</v>
      </c>
      <c r="B15" s="88">
        <f>Outputs!B38</f>
        <v>0.6</v>
      </c>
      <c r="C15" s="56"/>
      <c r="D15" s="55"/>
      <c r="E15" s="57"/>
      <c r="F15" s="90" t="s">
        <v>403</v>
      </c>
      <c r="G15" s="98">
        <f>Outputs!B47</f>
        <v>1423597321.5295475</v>
      </c>
      <c r="H15" s="55"/>
      <c r="I15" s="57"/>
      <c r="J15" s="55"/>
      <c r="K15" s="58"/>
      <c r="L15" s="55"/>
      <c r="M15" s="58"/>
      <c r="N15" s="55"/>
      <c r="P15">
        <f>Model!A14</f>
        <v>2037</v>
      </c>
      <c r="Q15">
        <f>Model!AB14</f>
        <v>0.77905983698550541</v>
      </c>
      <c r="R15">
        <f>'Alaska Base'!$C$2*(1-10%)</f>
        <v>1.2509999999999999</v>
      </c>
      <c r="S15">
        <f>'Alaska Base'!$C$2*(1-14%)</f>
        <v>1.1953999999999998</v>
      </c>
      <c r="T15">
        <v>0</v>
      </c>
      <c r="V15">
        <f>'SAF Supply'!A23</f>
        <v>2037</v>
      </c>
      <c r="W15">
        <f>'SAF Supply'!D23</f>
        <v>3524367000.0000005</v>
      </c>
      <c r="X15">
        <f>'SAF Supply'!E23</f>
        <v>2040423000.0000002</v>
      </c>
      <c r="Y15">
        <f>'SAF Supply'!L23</f>
        <v>3524367000.0000005</v>
      </c>
      <c r="Z15">
        <f>'SAF Supply'!M23</f>
        <v>634399377.95360351</v>
      </c>
      <c r="AG15" s="33"/>
    </row>
    <row r="16" spans="1:33" ht="17" x14ac:dyDescent="0.2">
      <c r="A16" s="90" t="s">
        <v>375</v>
      </c>
      <c r="B16" s="93">
        <f>Outputs!B39</f>
        <v>2912700000</v>
      </c>
      <c r="C16" s="85"/>
      <c r="D16" s="85"/>
      <c r="E16" s="85"/>
      <c r="F16" s="90" t="s">
        <v>509</v>
      </c>
      <c r="G16" s="99">
        <f>Outputs!B48</f>
        <v>2646062337.4499702</v>
      </c>
      <c r="H16" s="85"/>
      <c r="I16" s="85"/>
      <c r="J16" s="85"/>
      <c r="K16" s="85"/>
      <c r="L16" s="85"/>
      <c r="M16" s="85"/>
      <c r="N16" s="85"/>
      <c r="P16">
        <f>Model!A15</f>
        <v>2038</v>
      </c>
      <c r="Q16">
        <f>Model!AB15</f>
        <v>0.72441962674738969</v>
      </c>
      <c r="R16">
        <f>'Alaska Base'!$C$2*(1-10%)</f>
        <v>1.2509999999999999</v>
      </c>
      <c r="S16">
        <f>'Alaska Base'!$C$2*(1-14%)</f>
        <v>1.1953999999999998</v>
      </c>
      <c r="T16">
        <v>0</v>
      </c>
      <c r="V16">
        <f>'SAF Supply'!A24</f>
        <v>2038</v>
      </c>
      <c r="W16">
        <f>'SAF Supply'!D24</f>
        <v>3876803700.000001</v>
      </c>
      <c r="X16">
        <f>'SAF Supply'!E24</f>
        <v>2244465300.0000005</v>
      </c>
      <c r="Y16">
        <f>'SAF Supply'!L24</f>
        <v>3876803700.000001</v>
      </c>
      <c r="Z16">
        <f>'SAF Supply'!M24</f>
        <v>716764649.25164449</v>
      </c>
      <c r="AG16" s="33"/>
    </row>
    <row r="17" spans="1:33" ht="17" x14ac:dyDescent="0.2">
      <c r="A17" s="91" t="s">
        <v>376</v>
      </c>
      <c r="B17" s="89">
        <f>Outputs!B40</f>
        <v>0.30540215047130898</v>
      </c>
      <c r="C17" s="3"/>
      <c r="D17" s="3"/>
      <c r="E17" s="3"/>
      <c r="F17" s="92" t="s">
        <v>387</v>
      </c>
      <c r="G17" s="100">
        <f>Outputs!B49</f>
        <v>0</v>
      </c>
      <c r="H17" s="3"/>
      <c r="I17" s="3"/>
      <c r="J17" s="3"/>
      <c r="K17" s="3"/>
      <c r="L17" s="3"/>
      <c r="M17" s="3"/>
      <c r="N17" s="3"/>
      <c r="P17">
        <f>Model!A16</f>
        <v>2039</v>
      </c>
      <c r="Q17">
        <f>Model!AB16</f>
        <v>0.67073083310956794</v>
      </c>
      <c r="R17">
        <f>'Alaska Base'!$C$2*(1-10%)</f>
        <v>1.2509999999999999</v>
      </c>
      <c r="S17">
        <f>'Alaska Base'!$C$2*(1-14%)</f>
        <v>1.1953999999999998</v>
      </c>
      <c r="T17">
        <v>0</v>
      </c>
      <c r="V17">
        <f>'SAF Supply'!A25</f>
        <v>2039</v>
      </c>
      <c r="W17">
        <f>'SAF Supply'!D25</f>
        <v>4264484070.000001</v>
      </c>
      <c r="X17">
        <f>'SAF Supply'!E25</f>
        <v>2468911830.0000005</v>
      </c>
      <c r="Y17">
        <f>'SAF Supply'!L25</f>
        <v>4264484070.000001</v>
      </c>
      <c r="Z17">
        <f>'SAF Supply'!M25</f>
        <v>801860410.42507482</v>
      </c>
      <c r="AG17" s="33"/>
    </row>
    <row r="18" spans="1:33" ht="17" x14ac:dyDescent="0.2">
      <c r="A18" s="92" t="s">
        <v>510</v>
      </c>
      <c r="B18" s="94">
        <f>Outputs!B42</f>
        <v>0.61778289393793817</v>
      </c>
      <c r="C18" s="3"/>
      <c r="D18" s="3"/>
      <c r="E18" s="3"/>
      <c r="F18" s="92" t="s">
        <v>404</v>
      </c>
      <c r="G18" s="100">
        <f>Outputs!B50</f>
        <v>4069659658.9795179</v>
      </c>
      <c r="H18" s="3"/>
      <c r="I18" s="3"/>
      <c r="J18" s="3"/>
      <c r="K18" s="3"/>
      <c r="L18" s="3"/>
      <c r="M18" s="3"/>
      <c r="N18" s="3"/>
      <c r="P18">
        <f>Model!A17</f>
        <v>2040</v>
      </c>
      <c r="Q18">
        <f>Model!AB17</f>
        <v>0.61778289393793817</v>
      </c>
      <c r="R18">
        <f>'Alaska Base'!$C$2*(1-10%)</f>
        <v>1.2509999999999999</v>
      </c>
      <c r="S18">
        <f>'Alaska Base'!$C$2*(1-14%)</f>
        <v>1.1953999999999998</v>
      </c>
      <c r="T18">
        <v>0</v>
      </c>
      <c r="V18">
        <f>'SAF Supply'!A26</f>
        <v>2040</v>
      </c>
      <c r="W18">
        <f>'SAF Supply'!D26</f>
        <v>4690932477.0000019</v>
      </c>
      <c r="X18">
        <f>'SAF Supply'!E26</f>
        <v>2715803013.000001</v>
      </c>
      <c r="Y18">
        <f>'SAF Supply'!L26</f>
        <v>4690932477.0000019</v>
      </c>
      <c r="Z18">
        <f>'SAF Supply'!M26</f>
        <v>889544843.67778158</v>
      </c>
      <c r="AG18" s="33"/>
    </row>
    <row r="19" spans="1:33" ht="17" x14ac:dyDescent="0.2">
      <c r="A19" s="92" t="s">
        <v>392</v>
      </c>
      <c r="B19" s="95">
        <f>Outputs!B43</f>
        <v>0.55555187486479263</v>
      </c>
      <c r="C19" s="3"/>
      <c r="D19" s="3"/>
      <c r="E19" s="3"/>
      <c r="F19" s="92" t="s">
        <v>405</v>
      </c>
      <c r="G19" s="95">
        <f>Outputs!B51</f>
        <v>0.19584523361833939</v>
      </c>
      <c r="H19" s="3"/>
      <c r="I19" s="3"/>
      <c r="J19" s="3"/>
      <c r="K19" s="3"/>
      <c r="L19" s="3"/>
      <c r="M19" s="3"/>
      <c r="N19" s="3"/>
    </row>
    <row r="20" spans="1:33" ht="17" x14ac:dyDescent="0.2">
      <c r="A20" s="92" t="s">
        <v>461</v>
      </c>
      <c r="B20" s="96">
        <f>Outputs!B45</f>
        <v>7117986.6076477375</v>
      </c>
      <c r="C20" s="3"/>
      <c r="D20" s="3"/>
      <c r="E20" s="3"/>
      <c r="F20" s="92" t="s">
        <v>468</v>
      </c>
      <c r="G20" s="101">
        <f>Outputs!B52</f>
        <v>0</v>
      </c>
      <c r="H20" s="3"/>
      <c r="I20" s="3"/>
      <c r="J20" s="3"/>
      <c r="K20" s="3"/>
      <c r="L20" s="3"/>
      <c r="M20" s="3"/>
      <c r="N20" s="3"/>
    </row>
    <row r="21" spans="1:33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33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33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33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33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33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33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3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3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3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3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3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">
      <c r="A34" s="3"/>
      <c r="B34" s="3"/>
      <c r="C34" s="3"/>
      <c r="D34" s="3"/>
      <c r="E34" s="36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">
      <c r="A35" s="3"/>
      <c r="B35" s="3"/>
      <c r="C35" s="3"/>
      <c r="D35" s="3"/>
      <c r="E35" s="36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">
      <c r="A36" s="3"/>
      <c r="B36" s="3"/>
      <c r="C36" s="3"/>
      <c r="D36" s="3"/>
      <c r="E36" s="36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">
      <c r="A37" s="3"/>
      <c r="B37" s="3"/>
      <c r="C37" s="3"/>
      <c r="D37" s="3"/>
      <c r="E37" s="36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">
      <c r="A38" s="3"/>
      <c r="B38" s="3"/>
      <c r="C38" s="3"/>
      <c r="D38" s="3"/>
      <c r="E38" s="36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">
      <c r="A39" s="3"/>
      <c r="B39" s="3"/>
      <c r="C39" s="3"/>
      <c r="D39" s="3"/>
      <c r="E39" s="36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">
      <c r="A40" s="3"/>
      <c r="B40" s="3"/>
      <c r="C40" s="3"/>
      <c r="D40" s="3"/>
      <c r="E40" s="36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3"/>
      <c r="B41" s="3"/>
      <c r="C41" s="3"/>
      <c r="D41" s="3"/>
      <c r="E41" s="36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3"/>
      <c r="B42" s="3"/>
      <c r="C42" s="3"/>
      <c r="D42" s="3"/>
      <c r="E42" s="36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3"/>
      <c r="B43" s="3"/>
      <c r="C43" s="3"/>
      <c r="D43" s="3"/>
      <c r="E43" s="36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3"/>
      <c r="B44" s="3"/>
      <c r="C44" s="3"/>
      <c r="D44" s="3"/>
      <c r="E44" s="36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3"/>
      <c r="B45" s="3"/>
      <c r="C45" s="3"/>
      <c r="D45" s="3"/>
      <c r="E45" s="36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3"/>
      <c r="B46" s="3"/>
      <c r="C46" s="3"/>
      <c r="D46" s="3"/>
      <c r="E46" s="36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">
      <c r="A47" s="3"/>
      <c r="B47" s="3"/>
      <c r="C47" s="3"/>
      <c r="D47" s="3"/>
      <c r="E47" s="36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43"/>
      <c r="B48" s="43"/>
      <c r="C48" s="43"/>
      <c r="D48" s="43"/>
      <c r="E48" s="44"/>
      <c r="F48" s="43"/>
      <c r="G48" s="43"/>
      <c r="H48" s="43"/>
      <c r="I48" s="43"/>
      <c r="J48" s="43"/>
      <c r="K48" s="43"/>
      <c r="L48" s="43"/>
      <c r="M48" s="43"/>
      <c r="N48" s="43"/>
    </row>
    <row r="49" spans="1:14" x14ac:dyDescent="0.2">
      <c r="A49" s="109"/>
      <c r="B49" s="109"/>
      <c r="C49" s="109"/>
      <c r="D49" s="109"/>
      <c r="E49" s="110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x14ac:dyDescent="0.2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x14ac:dyDescent="0.2">
      <c r="A51" s="112" t="s">
        <v>511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</row>
    <row r="52" spans="1:14" x14ac:dyDescent="0.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</row>
    <row r="53" spans="1:14" x14ac:dyDescent="0.2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</row>
    <row r="54" spans="1:14" x14ac:dyDescent="0.2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</row>
    <row r="55" spans="1:14" x14ac:dyDescent="0.2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</row>
  </sheetData>
  <mergeCells count="14">
    <mergeCell ref="A51:N54"/>
    <mergeCell ref="A49:N50"/>
    <mergeCell ref="A13:B13"/>
    <mergeCell ref="C13:D13"/>
    <mergeCell ref="E13:F13"/>
    <mergeCell ref="G13:H13"/>
    <mergeCell ref="I13:J13"/>
    <mergeCell ref="K13:L13"/>
    <mergeCell ref="M13:N13"/>
    <mergeCell ref="A1:N2"/>
    <mergeCell ref="A4:D4"/>
    <mergeCell ref="F4:I4"/>
    <mergeCell ref="K4:N4"/>
    <mergeCell ref="A12:N1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6"/>
  <sheetViews>
    <sheetView topLeftCell="A13" workbookViewId="0">
      <selection activeCell="E22" sqref="E22"/>
    </sheetView>
  </sheetViews>
  <sheetFormatPr baseColWidth="10" defaultColWidth="8.83203125" defaultRowHeight="16" x14ac:dyDescent="0.2"/>
  <cols>
    <col min="1" max="1" width="9" customWidth="1"/>
    <col min="2" max="2" width="18" customWidth="1"/>
    <col min="3" max="3" width="20" customWidth="1"/>
    <col min="4" max="6" width="21" customWidth="1"/>
    <col min="7" max="11" width="20" customWidth="1"/>
    <col min="12" max="12" width="22" customWidth="1"/>
    <col min="13" max="14" width="20" customWidth="1"/>
    <col min="15" max="16" width="18" customWidth="1"/>
    <col min="17" max="17" width="54" customWidth="1"/>
    <col min="18" max="18" width="58" customWidth="1"/>
  </cols>
  <sheetData>
    <row r="1" spans="1:18" ht="20" x14ac:dyDescent="0.25">
      <c r="A1" s="113" t="s">
        <v>512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52"/>
      <c r="P1" s="52"/>
      <c r="Q1" s="52"/>
      <c r="R1" s="52"/>
    </row>
    <row r="2" spans="1:18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34" x14ac:dyDescent="0.2">
      <c r="A3" s="51" t="s">
        <v>8</v>
      </c>
      <c r="B3" s="51" t="s">
        <v>513</v>
      </c>
      <c r="C3" s="51" t="s">
        <v>514</v>
      </c>
      <c r="D3" s="51" t="s">
        <v>515</v>
      </c>
      <c r="E3" s="51" t="s">
        <v>516</v>
      </c>
      <c r="F3" s="51" t="s">
        <v>517</v>
      </c>
      <c r="G3" s="51" t="s">
        <v>518</v>
      </c>
      <c r="H3" s="51" t="s">
        <v>388</v>
      </c>
      <c r="I3" s="51" t="s">
        <v>519</v>
      </c>
      <c r="J3" s="51" t="s">
        <v>520</v>
      </c>
      <c r="K3" s="51" t="s">
        <v>521</v>
      </c>
      <c r="L3" s="51" t="s">
        <v>417</v>
      </c>
      <c r="M3" s="51" t="s">
        <v>522</v>
      </c>
      <c r="N3" s="51" t="s">
        <v>523</v>
      </c>
      <c r="O3" s="51" t="s">
        <v>376</v>
      </c>
      <c r="P3" s="51" t="s">
        <v>524</v>
      </c>
      <c r="Q3" s="51" t="s">
        <v>525</v>
      </c>
      <c r="R3" s="51" t="s">
        <v>526</v>
      </c>
    </row>
    <row r="4" spans="1:18" ht="34" x14ac:dyDescent="0.2">
      <c r="A4" s="3">
        <v>2018</v>
      </c>
      <c r="B4" s="35">
        <f>IF(A4&lt;=2026,SUMIFS(EPA_SAF!$G$2:$G$2160,EPA_SAF!$A$2:$A$2160,A4,EPA_SAF!$H$2:$H$2160,1),"")</f>
        <v>1828178</v>
      </c>
      <c r="C4" s="3" t="str">
        <f t="shared" ref="C4:C26" si="0">IF(A4&lt;2026,"Full year",IF(A4=2026,"YTD through latest EPA cut",""))</f>
        <v>Full year</v>
      </c>
      <c r="D4" s="35" t="str">
        <f>IF(A4&lt;2025,"",IF(A4=2025,B4,IF(A4&lt;=2030,$B$11*(Inputs!$B$28/$B$11)^((A4-2025)/5),IF(A4&lt;=2035,Inputs!$B$28*(Inputs!$B$30/Inputs!$B$28)^((A4-2030)/5),Inputs!$B$30*(1+Inputs!$B$17)^(A4-2035)))))</f>
        <v/>
      </c>
      <c r="E4" s="35" t="str">
        <f>IF(A4&lt;2025,"",IF(A4&lt;=2035,$B$11*(Inputs!$B$31/$B$11)^((A4-2025)/10),Inputs!$B$31*(1+Inputs!$B$17)^(A4-2035)))</f>
        <v/>
      </c>
      <c r="F4" s="35" t="str">
        <f>IF(A4=2030,Inputs!$B$29,"")</f>
        <v/>
      </c>
      <c r="G4" s="35" t="str">
        <f>IF(Inputs!$B$16="Conservative",E4,D4)</f>
        <v/>
      </c>
      <c r="H4" s="35" t="str">
        <f>IF(A4&lt;2025,"",INDEX(Model!$Y$2:$Y$17,MATCH(A4,Model!$A$2:$A$17,0)))</f>
        <v/>
      </c>
      <c r="I4" s="35" t="str">
        <f>IF(H4="","",H4*Inputs!$B$15)</f>
        <v/>
      </c>
      <c r="J4" s="35">
        <f>IF(A4&lt;2025+Inputs!$B$27,0,SUMIFS($I$4:$I$26,$A$4:$A$26,"&lt;="&amp;A4-Inputs!$B$27))</f>
        <v>0</v>
      </c>
      <c r="K4" s="35" t="str">
        <f>IF(G4="","",J4/Inputs!$B$26)</f>
        <v/>
      </c>
      <c r="L4" s="35" t="str">
        <f t="shared" ref="L4:L26" si="1">IF(G4="","",G4+K4)</f>
        <v/>
      </c>
      <c r="M4" s="35" t="str">
        <f>IF(A4&lt;2025,"",INDEX(Model!$K$2:$K$17,MATCH(A4,Model!$A$2:$A$17,0)))</f>
        <v/>
      </c>
      <c r="N4" s="35" t="str">
        <f>IF(A4&lt;2025,"",INDEX(Model!$P$2:$P$17,MATCH(A4,Model!$A$2:$A$17,0)))</f>
        <v/>
      </c>
      <c r="O4" s="31" t="str">
        <f t="shared" ref="O4:O26" si="2">IF(OR(L4="",L4=0),"",M4/L4)</f>
        <v/>
      </c>
      <c r="P4" s="35" t="str">
        <f t="shared" ref="P4:P26" si="3">IF(L4="","",MAX(0,M4-L4))</f>
        <v/>
      </c>
      <c r="Q4" s="3" t="s">
        <v>527</v>
      </c>
      <c r="R4" s="3" t="s">
        <v>528</v>
      </c>
    </row>
    <row r="5" spans="1:18" ht="34" x14ac:dyDescent="0.2">
      <c r="A5" s="3">
        <v>2019</v>
      </c>
      <c r="B5" s="35">
        <f>IF(A5&lt;=2026,SUMIFS(EPA_SAF!$G$2:$G$2160,EPA_SAF!$A$2:$A$2160,A5,EPA_SAF!$H$2:$H$2160,1),"")</f>
        <v>2428702</v>
      </c>
      <c r="C5" s="3" t="str">
        <f t="shared" si="0"/>
        <v>Full year</v>
      </c>
      <c r="D5" s="35" t="str">
        <f>IF(A5&lt;2025,"",IF(A5=2025,B5,IF(A5&lt;=2030,$B$11*(Inputs!$B$28/$B$11)^((A5-2025)/5),IF(A5&lt;=2035,Inputs!$B$28*(Inputs!$B$30/Inputs!$B$28)^((A5-2030)/5),Inputs!$B$30*(1+Inputs!$B$17)^(A5-2035)))))</f>
        <v/>
      </c>
      <c r="E5" s="35" t="str">
        <f>IF(A5&lt;2025,"",IF(A5&lt;=2035,$B$11*(Inputs!$B$31/$B$11)^((A5-2025)/10),Inputs!$B$31*(1+Inputs!$B$17)^(A5-2035)))</f>
        <v/>
      </c>
      <c r="F5" s="35" t="str">
        <f>IF(A5=2030,Inputs!$B$29,"")</f>
        <v/>
      </c>
      <c r="G5" s="35" t="str">
        <f>IF(Inputs!$B$16="Conservative",E5,D5)</f>
        <v/>
      </c>
      <c r="H5" s="35" t="str">
        <f>IF(A5&lt;2025,"",INDEX(Model!$Y$2:$Y$17,MATCH(A5,Model!$A$2:$A$17,0)))</f>
        <v/>
      </c>
      <c r="I5" s="35" t="str">
        <f>IF(H5="","",H5*Inputs!$B$15)</f>
        <v/>
      </c>
      <c r="J5" s="35">
        <f>IF(A5&lt;2025+Inputs!$B$27,0,SUMIFS($I$4:$I$26,$A$4:$A$26,"&lt;="&amp;A5-Inputs!$B$27))</f>
        <v>0</v>
      </c>
      <c r="K5" s="35" t="str">
        <f>IF(G5="","",J5/Inputs!$B$26)</f>
        <v/>
      </c>
      <c r="L5" s="35" t="str">
        <f t="shared" si="1"/>
        <v/>
      </c>
      <c r="M5" s="35" t="str">
        <f>IF(A5&lt;2025,"",INDEX(Model!$K$2:$K$17,MATCH(A5,Model!$A$2:$A$17,0)))</f>
        <v/>
      </c>
      <c r="N5" s="35" t="str">
        <f>IF(A5&lt;2025,"",INDEX(Model!$P$2:$P$17,MATCH(A5,Model!$A$2:$A$17,0)))</f>
        <v/>
      </c>
      <c r="O5" s="31" t="str">
        <f t="shared" si="2"/>
        <v/>
      </c>
      <c r="P5" s="35" t="str">
        <f t="shared" si="3"/>
        <v/>
      </c>
      <c r="Q5" s="3" t="s">
        <v>527</v>
      </c>
      <c r="R5" s="3" t="s">
        <v>528</v>
      </c>
    </row>
    <row r="6" spans="1:18" ht="34" x14ac:dyDescent="0.2">
      <c r="A6" s="3">
        <v>2020</v>
      </c>
      <c r="B6" s="35">
        <f>IF(A6&lt;=2026,SUMIFS(EPA_SAF!$G$2:$G$2160,EPA_SAF!$A$2:$A$2160,A6,EPA_SAF!$H$2:$H$2160,1),"")</f>
        <v>4608399</v>
      </c>
      <c r="C6" s="3" t="str">
        <f t="shared" si="0"/>
        <v>Full year</v>
      </c>
      <c r="D6" s="35" t="str">
        <f>IF(A6&lt;2025,"",IF(A6=2025,B6,IF(A6&lt;=2030,$B$11*(Inputs!$B$28/$B$11)^((A6-2025)/5),IF(A6&lt;=2035,Inputs!$B$28*(Inputs!$B$30/Inputs!$B$28)^((A6-2030)/5),Inputs!$B$30*(1+Inputs!$B$17)^(A6-2035)))))</f>
        <v/>
      </c>
      <c r="E6" s="35" t="str">
        <f>IF(A6&lt;2025,"",IF(A6&lt;=2035,$B$11*(Inputs!$B$31/$B$11)^((A6-2025)/10),Inputs!$B$31*(1+Inputs!$B$17)^(A6-2035)))</f>
        <v/>
      </c>
      <c r="F6" s="35" t="str">
        <f>IF(A6=2030,Inputs!$B$29,"")</f>
        <v/>
      </c>
      <c r="G6" s="35" t="str">
        <f>IF(Inputs!$B$16="Conservative",E6,D6)</f>
        <v/>
      </c>
      <c r="H6" s="35" t="str">
        <f>IF(A6&lt;2025,"",INDEX(Model!$Y$2:$Y$17,MATCH(A6,Model!$A$2:$A$17,0)))</f>
        <v/>
      </c>
      <c r="I6" s="35" t="str">
        <f>IF(H6="","",H6*Inputs!$B$15)</f>
        <v/>
      </c>
      <c r="J6" s="35">
        <f>IF(A6&lt;2025+Inputs!$B$27,0,SUMIFS($I$4:$I$26,$A$4:$A$26,"&lt;="&amp;A6-Inputs!$B$27))</f>
        <v>0</v>
      </c>
      <c r="K6" s="35" t="str">
        <f>IF(G6="","",J6/Inputs!$B$26)</f>
        <v/>
      </c>
      <c r="L6" s="35" t="str">
        <f t="shared" si="1"/>
        <v/>
      </c>
      <c r="M6" s="35" t="str">
        <f>IF(A6&lt;2025,"",INDEX(Model!$K$2:$K$17,MATCH(A6,Model!$A$2:$A$17,0)))</f>
        <v/>
      </c>
      <c r="N6" s="35" t="str">
        <f>IF(A6&lt;2025,"",INDEX(Model!$P$2:$P$17,MATCH(A6,Model!$A$2:$A$17,0)))</f>
        <v/>
      </c>
      <c r="O6" s="31" t="str">
        <f t="shared" si="2"/>
        <v/>
      </c>
      <c r="P6" s="35" t="str">
        <f t="shared" si="3"/>
        <v/>
      </c>
      <c r="Q6" s="3" t="s">
        <v>527</v>
      </c>
      <c r="R6" s="3" t="s">
        <v>528</v>
      </c>
    </row>
    <row r="7" spans="1:18" ht="34" x14ac:dyDescent="0.2">
      <c r="A7" s="3">
        <v>2021</v>
      </c>
      <c r="B7" s="35">
        <f>IF(A7&lt;=2026,SUMIFS(EPA_SAF!$G$2:$G$2160,EPA_SAF!$A$2:$A$2160,A7,EPA_SAF!$H$2:$H$2160,1),"")</f>
        <v>5080073</v>
      </c>
      <c r="C7" s="3" t="str">
        <f t="shared" si="0"/>
        <v>Full year</v>
      </c>
      <c r="D7" s="35" t="str">
        <f>IF(A7&lt;2025,"",IF(A7=2025,B7,IF(A7&lt;=2030,$B$11*(Inputs!$B$28/$B$11)^((A7-2025)/5),IF(A7&lt;=2035,Inputs!$B$28*(Inputs!$B$30/Inputs!$B$28)^((A7-2030)/5),Inputs!$B$30*(1+Inputs!$B$17)^(A7-2035)))))</f>
        <v/>
      </c>
      <c r="E7" s="35" t="str">
        <f>IF(A7&lt;2025,"",IF(A7&lt;=2035,$B$11*(Inputs!$B$31/$B$11)^((A7-2025)/10),Inputs!$B$31*(1+Inputs!$B$17)^(A7-2035)))</f>
        <v/>
      </c>
      <c r="F7" s="35" t="str">
        <f>IF(A7=2030,Inputs!$B$29,"")</f>
        <v/>
      </c>
      <c r="G7" s="35" t="str">
        <f>IF(Inputs!$B$16="Conservative",E7,D7)</f>
        <v/>
      </c>
      <c r="H7" s="35" t="str">
        <f>IF(A7&lt;2025,"",INDEX(Model!$Y$2:$Y$17,MATCH(A7,Model!$A$2:$A$17,0)))</f>
        <v/>
      </c>
      <c r="I7" s="35" t="str">
        <f>IF(H7="","",H7*Inputs!$B$15)</f>
        <v/>
      </c>
      <c r="J7" s="35">
        <f>IF(A7&lt;2025+Inputs!$B$27,0,SUMIFS($I$4:$I$26,$A$4:$A$26,"&lt;="&amp;A7-Inputs!$B$27))</f>
        <v>0</v>
      </c>
      <c r="K7" s="35" t="str">
        <f>IF(G7="","",J7/Inputs!$B$26)</f>
        <v/>
      </c>
      <c r="L7" s="35" t="str">
        <f t="shared" si="1"/>
        <v/>
      </c>
      <c r="M7" s="35" t="str">
        <f>IF(A7&lt;2025,"",INDEX(Model!$K$2:$K$17,MATCH(A7,Model!$A$2:$A$17,0)))</f>
        <v/>
      </c>
      <c r="N7" s="35" t="str">
        <f>IF(A7&lt;2025,"",INDEX(Model!$P$2:$P$17,MATCH(A7,Model!$A$2:$A$17,0)))</f>
        <v/>
      </c>
      <c r="O7" s="31" t="str">
        <f t="shared" si="2"/>
        <v/>
      </c>
      <c r="P7" s="35" t="str">
        <f t="shared" si="3"/>
        <v/>
      </c>
      <c r="Q7" s="3" t="s">
        <v>527</v>
      </c>
      <c r="R7" s="3" t="s">
        <v>528</v>
      </c>
    </row>
    <row r="8" spans="1:18" ht="34" x14ac:dyDescent="0.2">
      <c r="A8" s="3">
        <v>2022</v>
      </c>
      <c r="B8" s="35">
        <f>IF(A8&lt;=2026,SUMIFS(EPA_SAF!$G$2:$G$2160,EPA_SAF!$A$2:$A$2160,A8,EPA_SAF!$H$2:$H$2160,1),"")</f>
        <v>15819877</v>
      </c>
      <c r="C8" s="3" t="str">
        <f t="shared" si="0"/>
        <v>Full year</v>
      </c>
      <c r="D8" s="35" t="str">
        <f>IF(A8&lt;2025,"",IF(A8=2025,B8,IF(A8&lt;=2030,$B$11*(Inputs!$B$28/$B$11)^((A8-2025)/5),IF(A8&lt;=2035,Inputs!$B$28*(Inputs!$B$30/Inputs!$B$28)^((A8-2030)/5),Inputs!$B$30*(1+Inputs!$B$17)^(A8-2035)))))</f>
        <v/>
      </c>
      <c r="E8" s="35" t="str">
        <f>IF(A8&lt;2025,"",IF(A8&lt;=2035,$B$11*(Inputs!$B$31/$B$11)^((A8-2025)/10),Inputs!$B$31*(1+Inputs!$B$17)^(A8-2035)))</f>
        <v/>
      </c>
      <c r="F8" s="35" t="str">
        <f>IF(A8=2030,Inputs!$B$29,"")</f>
        <v/>
      </c>
      <c r="G8" s="35" t="str">
        <f>IF(Inputs!$B$16="Conservative",E8,D8)</f>
        <v/>
      </c>
      <c r="H8" s="35" t="str">
        <f>IF(A8&lt;2025,"",INDEX(Model!$Y$2:$Y$17,MATCH(A8,Model!$A$2:$A$17,0)))</f>
        <v/>
      </c>
      <c r="I8" s="35" t="str">
        <f>IF(H8="","",H8*Inputs!$B$15)</f>
        <v/>
      </c>
      <c r="J8" s="35">
        <f>IF(A8&lt;2025+Inputs!$B$27,0,SUMIFS($I$4:$I$26,$A$4:$A$26,"&lt;="&amp;A8-Inputs!$B$27))</f>
        <v>0</v>
      </c>
      <c r="K8" s="35" t="str">
        <f>IF(G8="","",J8/Inputs!$B$26)</f>
        <v/>
      </c>
      <c r="L8" s="35" t="str">
        <f t="shared" si="1"/>
        <v/>
      </c>
      <c r="M8" s="35" t="str">
        <f>IF(A8&lt;2025,"",INDEX(Model!$K$2:$K$17,MATCH(A8,Model!$A$2:$A$17,0)))</f>
        <v/>
      </c>
      <c r="N8" s="35" t="str">
        <f>IF(A8&lt;2025,"",INDEX(Model!$P$2:$P$17,MATCH(A8,Model!$A$2:$A$17,0)))</f>
        <v/>
      </c>
      <c r="O8" s="31" t="str">
        <f t="shared" si="2"/>
        <v/>
      </c>
      <c r="P8" s="35" t="str">
        <f t="shared" si="3"/>
        <v/>
      </c>
      <c r="Q8" s="3" t="s">
        <v>527</v>
      </c>
      <c r="R8" s="3" t="s">
        <v>528</v>
      </c>
    </row>
    <row r="9" spans="1:18" ht="34" x14ac:dyDescent="0.2">
      <c r="A9" s="3">
        <v>2023</v>
      </c>
      <c r="B9" s="35">
        <f>IF(A9&lt;=2026,SUMIFS(EPA_SAF!$G$2:$G$2160,EPA_SAF!$A$2:$A$2160,A9,EPA_SAF!$H$2:$H$2160,1),"")</f>
        <v>26300097</v>
      </c>
      <c r="C9" s="3" t="str">
        <f t="shared" si="0"/>
        <v>Full year</v>
      </c>
      <c r="D9" s="35" t="str">
        <f>IF(A9&lt;2025,"",IF(A9=2025,B9,IF(A9&lt;=2030,$B$11*(Inputs!$B$28/$B$11)^((A9-2025)/5),IF(A9&lt;=2035,Inputs!$B$28*(Inputs!$B$30/Inputs!$B$28)^((A9-2030)/5),Inputs!$B$30*(1+Inputs!$B$17)^(A9-2035)))))</f>
        <v/>
      </c>
      <c r="E9" s="35" t="str">
        <f>IF(A9&lt;2025,"",IF(A9&lt;=2035,$B$11*(Inputs!$B$31/$B$11)^((A9-2025)/10),Inputs!$B$31*(1+Inputs!$B$17)^(A9-2035)))</f>
        <v/>
      </c>
      <c r="F9" s="35" t="str">
        <f>IF(A9=2030,Inputs!$B$29,"")</f>
        <v/>
      </c>
      <c r="G9" s="35" t="str">
        <f>IF(Inputs!$B$16="Conservative",E9,D9)</f>
        <v/>
      </c>
      <c r="H9" s="35" t="str">
        <f>IF(A9&lt;2025,"",INDEX(Model!$Y$2:$Y$17,MATCH(A9,Model!$A$2:$A$17,0)))</f>
        <v/>
      </c>
      <c r="I9" s="35" t="str">
        <f>IF(H9="","",H9*Inputs!$B$15)</f>
        <v/>
      </c>
      <c r="J9" s="35">
        <f>IF(A9&lt;2025+Inputs!$B$27,0,SUMIFS($I$4:$I$26,$A$4:$A$26,"&lt;="&amp;A9-Inputs!$B$27))</f>
        <v>0</v>
      </c>
      <c r="K9" s="35" t="str">
        <f>IF(G9="","",J9/Inputs!$B$26)</f>
        <v/>
      </c>
      <c r="L9" s="35" t="str">
        <f t="shared" si="1"/>
        <v/>
      </c>
      <c r="M9" s="35" t="str">
        <f>IF(A9&lt;2025,"",INDEX(Model!$K$2:$K$17,MATCH(A9,Model!$A$2:$A$17,0)))</f>
        <v/>
      </c>
      <c r="N9" s="35" t="str">
        <f>IF(A9&lt;2025,"",INDEX(Model!$P$2:$P$17,MATCH(A9,Model!$A$2:$A$17,0)))</f>
        <v/>
      </c>
      <c r="O9" s="31" t="str">
        <f t="shared" si="2"/>
        <v/>
      </c>
      <c r="P9" s="35" t="str">
        <f t="shared" si="3"/>
        <v/>
      </c>
      <c r="Q9" s="3" t="s">
        <v>527</v>
      </c>
      <c r="R9" s="3" t="s">
        <v>528</v>
      </c>
    </row>
    <row r="10" spans="1:18" ht="34" x14ac:dyDescent="0.2">
      <c r="A10" s="3">
        <v>2024</v>
      </c>
      <c r="B10" s="35">
        <f>IF(A10&lt;=2026,SUMIFS(EPA_SAF!$G$2:$G$2160,EPA_SAF!$A$2:$A$2160,A10,EPA_SAF!$H$2:$H$2160,1),"")</f>
        <v>111864983</v>
      </c>
      <c r="C10" s="3" t="str">
        <f t="shared" si="0"/>
        <v>Full year</v>
      </c>
      <c r="D10" s="35" t="str">
        <f>IF(A10&lt;2025,"",IF(A10=2025,B10,IF(A10&lt;=2030,$B$11*(Inputs!$B$28/$B$11)^((A10-2025)/5),IF(A10&lt;=2035,Inputs!$B$28*(Inputs!$B$30/Inputs!$B$28)^((A10-2030)/5),Inputs!$B$30*(1+Inputs!$B$17)^(A10-2035)))))</f>
        <v/>
      </c>
      <c r="E10" s="35" t="str">
        <f>IF(A10&lt;2025,"",IF(A10&lt;=2035,$B$11*(Inputs!$B$31/$B$11)^((A10-2025)/10),Inputs!$B$31*(1+Inputs!$B$17)^(A10-2035)))</f>
        <v/>
      </c>
      <c r="F10" s="35" t="str">
        <f>IF(A10=2030,Inputs!$B$29,"")</f>
        <v/>
      </c>
      <c r="G10" s="35" t="str">
        <f>IF(Inputs!$B$16="Conservative",E10,D10)</f>
        <v/>
      </c>
      <c r="H10" s="35" t="str">
        <f>IF(A10&lt;2025,"",INDEX(Model!$Y$2:$Y$17,MATCH(A10,Model!$A$2:$A$17,0)))</f>
        <v/>
      </c>
      <c r="I10" s="35" t="str">
        <f>IF(H10="","",H10*Inputs!$B$15)</f>
        <v/>
      </c>
      <c r="J10" s="35">
        <f>IF(A10&lt;2025+Inputs!$B$27,0,SUMIFS($I$4:$I$26,$A$4:$A$26,"&lt;="&amp;A10-Inputs!$B$27))</f>
        <v>0</v>
      </c>
      <c r="K10" s="35" t="str">
        <f>IF(G10="","",J10/Inputs!$B$26)</f>
        <v/>
      </c>
      <c r="L10" s="35" t="str">
        <f t="shared" si="1"/>
        <v/>
      </c>
      <c r="M10" s="35" t="str">
        <f>IF(A10&lt;2025,"",INDEX(Model!$K$2:$K$17,MATCH(A10,Model!$A$2:$A$17,0)))</f>
        <v/>
      </c>
      <c r="N10" s="35" t="str">
        <f>IF(A10&lt;2025,"",INDEX(Model!$P$2:$P$17,MATCH(A10,Model!$A$2:$A$17,0)))</f>
        <v/>
      </c>
      <c r="O10" s="31" t="str">
        <f t="shared" si="2"/>
        <v/>
      </c>
      <c r="P10" s="35" t="str">
        <f t="shared" si="3"/>
        <v/>
      </c>
      <c r="Q10" s="3" t="s">
        <v>527</v>
      </c>
      <c r="R10" s="3" t="s">
        <v>528</v>
      </c>
    </row>
    <row r="11" spans="1:18" ht="34" x14ac:dyDescent="0.2">
      <c r="A11" s="3">
        <v>2025</v>
      </c>
      <c r="B11" s="35">
        <f>IF(A11&lt;=2026,SUMIFS(EPA_SAF!$G$2:$G$2160,EPA_SAF!$A$2:$A$2160,A11,EPA_SAF!$H$2:$H$2160,1),"")</f>
        <v>287728509</v>
      </c>
      <c r="C11" s="3" t="str">
        <f t="shared" si="0"/>
        <v>Full year</v>
      </c>
      <c r="D11" s="35">
        <f>IF(A11&lt;2025,"",IF(A11=2025,B11,IF(A11&lt;=2030,$B$11*(Inputs!$B$28/$B$11)^((A11-2025)/5),IF(A11&lt;=2035,Inputs!$B$28*(Inputs!$B$30/Inputs!$B$28)^((A11-2030)/5),Inputs!$B$30*(1+Inputs!$B$17)^(A11-2035)))))</f>
        <v>287728509</v>
      </c>
      <c r="E11" s="35">
        <f>IF(A11&lt;2025,"",IF(A11&lt;=2035,$B$11*(Inputs!$B$31/$B$11)^((A11-2025)/10),Inputs!$B$31*(1+Inputs!$B$17)^(A11-2035)))</f>
        <v>287728509</v>
      </c>
      <c r="F11" s="35" t="str">
        <f>IF(A11=2030,Inputs!$B$29,"")</f>
        <v/>
      </c>
      <c r="G11" s="35">
        <f>IF(Inputs!$B$16="Conservative",E11,D11)</f>
        <v>287728509</v>
      </c>
      <c r="H11" s="35">
        <f>IF(A11&lt;2025,"",INDEX(Model!$Y$2:$Y$17,MATCH(A11,Model!$A$2:$A$17,0)))</f>
        <v>14239000000</v>
      </c>
      <c r="I11" s="35">
        <f>IF(H11="","",H11*Inputs!$B$15)</f>
        <v>0</v>
      </c>
      <c r="J11" s="35">
        <f>IF(A11&lt;2025+Inputs!$B$27,0,SUMIFS($I$4:$I$26,$A$4:$A$26,"&lt;="&amp;A11-Inputs!$B$27))</f>
        <v>0</v>
      </c>
      <c r="K11" s="35">
        <f>IF(G11="","",J11/Inputs!$B$26)</f>
        <v>0</v>
      </c>
      <c r="L11" s="35">
        <f t="shared" si="1"/>
        <v>287728509</v>
      </c>
      <c r="M11" s="35">
        <f>IF(A11&lt;2025,"",INDEX(Model!$K$2:$K$17,MATCH(A11,Model!$A$2:$A$17,0)))</f>
        <v>10891144</v>
      </c>
      <c r="N11" s="35">
        <f>IF(A11&lt;2025,"",INDEX(Model!$P$2:$P$17,MATCH(A11,Model!$A$2:$A$17,0)))</f>
        <v>10891144</v>
      </c>
      <c r="O11" s="31">
        <f t="shared" si="2"/>
        <v>3.7852154580900431E-2</v>
      </c>
      <c r="P11" s="35">
        <f t="shared" si="3"/>
        <v>0</v>
      </c>
      <c r="Q11" s="3" t="s">
        <v>529</v>
      </c>
      <c r="R11" s="3" t="s">
        <v>528</v>
      </c>
    </row>
    <row r="12" spans="1:18" ht="34" x14ac:dyDescent="0.2">
      <c r="A12" s="3">
        <v>2026</v>
      </c>
      <c r="B12" s="35">
        <f>IF(A12&lt;=2026,SUMIFS(EPA_SAF!$G$2:$G$2160,EPA_SAF!$A$2:$A$2160,A12,EPA_SAF!$H$2:$H$2160,1),"")</f>
        <v>182960877</v>
      </c>
      <c r="C12" s="3" t="str">
        <f t="shared" si="0"/>
        <v>YTD through latest EPA cut</v>
      </c>
      <c r="D12" s="35">
        <f>IF(A12&lt;2025,"",IF(A12=2025,B12,IF(A12&lt;=2030,$B$11*(Inputs!$B$28/$B$11)^((A12-2025)/5),IF(A12&lt;=2035,Inputs!$B$28*(Inputs!$B$30/Inputs!$B$28)^((A12-2030)/5),Inputs!$B$30*(1+Inputs!$B$17)^(A12-2035)))))</f>
        <v>426082685.12217546</v>
      </c>
      <c r="E12" s="35">
        <f>IF(A12&lt;2025,"",IF(A12&lt;=2035,$B$11*(Inputs!$B$31/$B$11)^((A12-2025)/10),Inputs!$B$31*(1+Inputs!$B$17)^(A12-2035)))</f>
        <v>343382445.84483087</v>
      </c>
      <c r="F12" s="35" t="str">
        <f>IF(A12=2030,Inputs!$B$29,"")</f>
        <v/>
      </c>
      <c r="G12" s="35">
        <f>IF(Inputs!$B$16="Conservative",E12,D12)</f>
        <v>426082685.12217546</v>
      </c>
      <c r="H12" s="35">
        <f>IF(A12&lt;2025,"",INDEX(Model!$Y$2:$Y$17,MATCH(A12,Model!$A$2:$A$17,0)))</f>
        <v>14552775781.818182</v>
      </c>
      <c r="I12" s="35">
        <f>IF(H12="","",H12*Inputs!$B$15)</f>
        <v>0</v>
      </c>
      <c r="J12" s="35">
        <f>IF(A12&lt;2025+Inputs!$B$27,0,SUMIFS($I$4:$I$26,$A$4:$A$26,"&lt;="&amp;A12-Inputs!$B$27))</f>
        <v>0</v>
      </c>
      <c r="K12" s="35">
        <f>IF(G12="","",J12/Inputs!$B$26)</f>
        <v>0</v>
      </c>
      <c r="L12" s="35">
        <f t="shared" si="1"/>
        <v>426082685.12217546</v>
      </c>
      <c r="M12" s="35">
        <f>IF(A12&lt;2025,"",INDEX(Model!$K$2:$K$17,MATCH(A12,Model!$A$2:$A$17,0)))</f>
        <v>32077747.184913211</v>
      </c>
      <c r="N12" s="35">
        <f>IF(A12&lt;2025,"",INDEX(Model!$P$2:$P$17,MATCH(A12,Model!$A$2:$A$17,0)))</f>
        <v>32077747.184913211</v>
      </c>
      <c r="O12" s="31">
        <f t="shared" si="2"/>
        <v>7.5285263412464651E-2</v>
      </c>
      <c r="P12" s="35">
        <f t="shared" si="3"/>
        <v>0</v>
      </c>
      <c r="Q12" s="3" t="s">
        <v>530</v>
      </c>
      <c r="R12" s="3" t="s">
        <v>528</v>
      </c>
    </row>
    <row r="13" spans="1:18" ht="51" x14ac:dyDescent="0.2">
      <c r="A13" s="3">
        <v>2027</v>
      </c>
      <c r="B13" s="35" t="str">
        <f>IF(A13&lt;=2026,SUMIFS(EPA_SAF!$G$2:$G$2160,EPA_SAF!$A$2:$A$2160,A13,EPA_SAF!$H$2:$H$2160,1),"")</f>
        <v/>
      </c>
      <c r="C13" s="3" t="str">
        <f t="shared" si="0"/>
        <v/>
      </c>
      <c r="D13" s="35">
        <f>IF(A13&lt;2025,"",IF(A13=2025,B13,IF(A13&lt;=2030,$B$11*(Inputs!$B$28/$B$11)^((A13-2025)/5),IF(A13&lt;=2035,Inputs!$B$28*(Inputs!$B$30/Inputs!$B$28)^((A13-2030)/5),Inputs!$B$30*(1+Inputs!$B$17)^(A13-2035)))))</f>
        <v>630964429.60027623</v>
      </c>
      <c r="E13" s="35">
        <f>IF(A13&lt;2025,"",IF(A13&lt;=2035,$B$11*(Inputs!$B$31/$B$11)^((A13-2025)/10),Inputs!$B$31*(1+Inputs!$B$17)^(A13-2035)))</f>
        <v>409801255.09348887</v>
      </c>
      <c r="F13" s="35" t="str">
        <f>IF(A13=2030,Inputs!$B$29,"")</f>
        <v/>
      </c>
      <c r="G13" s="35">
        <f>IF(Inputs!$B$16="Conservative",E13,D13)</f>
        <v>630964429.60027623</v>
      </c>
      <c r="H13" s="35">
        <f>IF(A13&lt;2025,"",INDEX(Model!$Y$2:$Y$17,MATCH(A13,Model!$A$2:$A$17,0)))</f>
        <v>14899730146.666674</v>
      </c>
      <c r="I13" s="35">
        <f>IF(H13="","",H13*Inputs!$B$15)</f>
        <v>0</v>
      </c>
      <c r="J13" s="35">
        <f>IF(A13&lt;2025+Inputs!$B$27,0,SUMIFS($I$4:$I$26,$A$4:$A$26,"&lt;="&amp;A13-Inputs!$B$27))</f>
        <v>0</v>
      </c>
      <c r="K13" s="35">
        <f>IF(G13="","",J13/Inputs!$B$26)</f>
        <v>0</v>
      </c>
      <c r="L13" s="35">
        <f t="shared" si="1"/>
        <v>630964429.60027623</v>
      </c>
      <c r="M13" s="35">
        <f>IF(A13&lt;2025,"",INDEX(Model!$K$2:$K$17,MATCH(A13,Model!$A$2:$A$17,0)))</f>
        <v>53952468.466339573</v>
      </c>
      <c r="N13" s="35">
        <f>IF(A13&lt;2025,"",INDEX(Model!$P$2:$P$17,MATCH(A13,Model!$A$2:$A$17,0)))</f>
        <v>53952468.466339573</v>
      </c>
      <c r="O13" s="31">
        <f t="shared" si="2"/>
        <v>8.5507939806557923E-2</v>
      </c>
      <c r="P13" s="35">
        <f t="shared" si="3"/>
        <v>0</v>
      </c>
      <c r="Q13" s="3" t="s">
        <v>531</v>
      </c>
      <c r="R13" s="3" t="s">
        <v>358</v>
      </c>
    </row>
    <row r="14" spans="1:18" ht="51" x14ac:dyDescent="0.2">
      <c r="A14" s="3">
        <v>2028</v>
      </c>
      <c r="B14" s="35" t="str">
        <f>IF(A14&lt;=2026,SUMIFS(EPA_SAF!$G$2:$G$2160,EPA_SAF!$A$2:$A$2160,A14,EPA_SAF!$H$2:$H$2160,1),"")</f>
        <v/>
      </c>
      <c r="C14" s="3" t="str">
        <f t="shared" si="0"/>
        <v/>
      </c>
      <c r="D14" s="35">
        <f>IF(A14&lt;2025,"",IF(A14=2025,B14,IF(A14&lt;=2030,$B$11*(Inputs!$B$28/$B$11)^((A14-2025)/5),IF(A14&lt;=2035,Inputs!$B$28*(Inputs!$B$30/Inputs!$B$28)^((A14-2030)/5),Inputs!$B$30*(1+Inputs!$B$17)^(A14-2035)))))</f>
        <v>934363505.77504802</v>
      </c>
      <c r="E14" s="35">
        <f>IF(A14&lt;2025,"",IF(A14&lt;=2035,$B$11*(Inputs!$B$31/$B$11)^((A14-2025)/10),Inputs!$B$31*(1+Inputs!$B$17)^(A14-2035)))</f>
        <v>489067134.06103134</v>
      </c>
      <c r="F14" s="35" t="str">
        <f>IF(A14=2030,Inputs!$B$29,"")</f>
        <v/>
      </c>
      <c r="G14" s="35">
        <f>IF(Inputs!$B$16="Conservative",E14,D14)</f>
        <v>934363505.77504802</v>
      </c>
      <c r="H14" s="35">
        <f>IF(A14&lt;2025,"",INDEX(Model!$Y$2:$Y$17,MATCH(A14,Model!$A$2:$A$17,0)))</f>
        <v>15254956289.565771</v>
      </c>
      <c r="I14" s="35">
        <f>IF(H14="","",H14*Inputs!$B$15)</f>
        <v>0</v>
      </c>
      <c r="J14" s="35">
        <f>IF(A14&lt;2025+Inputs!$B$27,0,SUMIFS($I$4:$I$26,$A$4:$A$26,"&lt;="&amp;A14-Inputs!$B$27))</f>
        <v>0</v>
      </c>
      <c r="K14" s="35">
        <f>IF(G14="","",J14/Inputs!$B$26)</f>
        <v>0</v>
      </c>
      <c r="L14" s="35">
        <f t="shared" si="1"/>
        <v>934363505.77504802</v>
      </c>
      <c r="M14" s="35">
        <f>IF(A14&lt;2025,"",INDEX(Model!$K$2:$K$17,MATCH(A14,Model!$A$2:$A$17,0)))</f>
        <v>76502794.760871723</v>
      </c>
      <c r="N14" s="35">
        <f>IF(A14&lt;2025,"",INDEX(Model!$P$2:$P$17,MATCH(A14,Model!$A$2:$A$17,0)))</f>
        <v>76502794.760871723</v>
      </c>
      <c r="O14" s="31">
        <f t="shared" si="2"/>
        <v>8.1876907957158698E-2</v>
      </c>
      <c r="P14" s="35">
        <f t="shared" si="3"/>
        <v>0</v>
      </c>
      <c r="Q14" s="3" t="s">
        <v>531</v>
      </c>
      <c r="R14" s="3" t="s">
        <v>358</v>
      </c>
    </row>
    <row r="15" spans="1:18" ht="51" x14ac:dyDescent="0.2">
      <c r="A15" s="3">
        <v>2029</v>
      </c>
      <c r="B15" s="35" t="str">
        <f>IF(A15&lt;=2026,SUMIFS(EPA_SAF!$G$2:$G$2160,EPA_SAF!$A$2:$A$2160,A15,EPA_SAF!$H$2:$H$2160,1),"")</f>
        <v/>
      </c>
      <c r="C15" s="3" t="str">
        <f t="shared" si="0"/>
        <v/>
      </c>
      <c r="D15" s="35">
        <f>IF(A15&lt;2025,"",IF(A15=2025,B15,IF(A15&lt;=2030,$B$11*(Inputs!$B$28/$B$11)^((A15-2025)/5),IF(A15&lt;=2035,Inputs!$B$28*(Inputs!$B$30/Inputs!$B$28)^((A15-2030)/5),Inputs!$B$30*(1+Inputs!$B$17)^(A15-2035)))))</f>
        <v>1383651946.0808864</v>
      </c>
      <c r="E15" s="35">
        <f>IF(A15&lt;2025,"",IF(A15&lt;=2035,$B$11*(Inputs!$B$31/$B$11)^((A15-2025)/10),Inputs!$B$31*(1+Inputs!$B$17)^(A15-2035)))</f>
        <v>583665029.43995285</v>
      </c>
      <c r="F15" s="35" t="str">
        <f>IF(A15=2030,Inputs!$B$29,"")</f>
        <v/>
      </c>
      <c r="G15" s="35">
        <f>IF(Inputs!$B$16="Conservative",E15,D15)</f>
        <v>1383651946.0808864</v>
      </c>
      <c r="H15" s="35">
        <f>IF(A15&lt;2025,"",INDEX(Model!$Y$2:$Y$17,MATCH(A15,Model!$A$2:$A$17,0)))</f>
        <v>15618651418.906691</v>
      </c>
      <c r="I15" s="35">
        <f>IF(H15="","",H15*Inputs!$B$15)</f>
        <v>0</v>
      </c>
      <c r="J15" s="35">
        <f>IF(A15&lt;2025+Inputs!$B$27,0,SUMIFS($I$4:$I$26,$A$4:$A$26,"&lt;="&amp;A15-Inputs!$B$27))</f>
        <v>0</v>
      </c>
      <c r="K15" s="35">
        <f>IF(G15="","",J15/Inputs!$B$26)</f>
        <v>0</v>
      </c>
      <c r="L15" s="35">
        <f t="shared" si="1"/>
        <v>1383651946.0808864</v>
      </c>
      <c r="M15" s="35">
        <f>IF(A15&lt;2025,"",INDEX(Model!$K$2:$K$17,MATCH(A15,Model!$A$2:$A$17,0)))</f>
        <v>99781095.739008501</v>
      </c>
      <c r="N15" s="35">
        <f>IF(A15&lt;2025,"",INDEX(Model!$P$2:$P$17,MATCH(A15,Model!$A$2:$A$17,0)))</f>
        <v>99781095.739008501</v>
      </c>
      <c r="O15" s="31">
        <f t="shared" si="2"/>
        <v>7.2114303038153957E-2</v>
      </c>
      <c r="P15" s="35">
        <f t="shared" si="3"/>
        <v>0</v>
      </c>
      <c r="Q15" s="3" t="s">
        <v>531</v>
      </c>
      <c r="R15" s="3" t="s">
        <v>358</v>
      </c>
    </row>
    <row r="16" spans="1:18" ht="51" x14ac:dyDescent="0.2">
      <c r="A16" s="3">
        <v>2030</v>
      </c>
      <c r="B16" s="35" t="str">
        <f>IF(A16&lt;=2026,SUMIFS(EPA_SAF!$G$2:$G$2160,EPA_SAF!$A$2:$A$2160,A16,EPA_SAF!$H$2:$H$2160,1),"")</f>
        <v/>
      </c>
      <c r="C16" s="3" t="str">
        <f t="shared" si="0"/>
        <v/>
      </c>
      <c r="D16" s="35">
        <f>IF(A16&lt;2025,"",IF(A16=2025,B16,IF(A16&lt;=2030,$B$11*(Inputs!$B$28/$B$11)^((A16-2025)/5),IF(A16&lt;=2035,Inputs!$B$28*(Inputs!$B$30/Inputs!$B$28)^((A16-2030)/5),Inputs!$B$30*(1+Inputs!$B$17)^(A16-2035)))))</f>
        <v>2048980612</v>
      </c>
      <c r="E16" s="35">
        <f>IF(A16&lt;2025,"",IF(A16&lt;=2035,$B$11*(Inputs!$B$31/$B$11)^((A16-2025)/10),Inputs!$B$31*(1+Inputs!$B$17)^(A16-2035)))</f>
        <v>696560539.16849184</v>
      </c>
      <c r="F16" s="35">
        <f>IF(A16=2030,Inputs!$B$29,"")</f>
        <v>3000000000</v>
      </c>
      <c r="G16" s="35">
        <f>IF(Inputs!$B$16="Conservative",E16,D16)</f>
        <v>2048980612</v>
      </c>
      <c r="H16" s="35">
        <f>IF(A16&lt;2025,"",INDEX(Model!$Y$2:$Y$17,MATCH(A16,Model!$A$2:$A$17,0)))</f>
        <v>15991017444.7481</v>
      </c>
      <c r="I16" s="35">
        <f>IF(H16="","",H16*Inputs!$B$15)</f>
        <v>0</v>
      </c>
      <c r="J16" s="35">
        <f>IF(A16&lt;2025+Inputs!$B$27,0,SUMIFS($I$4:$I$26,$A$4:$A$26,"&lt;="&amp;A16-Inputs!$B$27))</f>
        <v>0</v>
      </c>
      <c r="K16" s="35">
        <f>IF(G16="","",J16/Inputs!$B$26)</f>
        <v>0</v>
      </c>
      <c r="L16" s="35">
        <f t="shared" si="1"/>
        <v>2048980612</v>
      </c>
      <c r="M16" s="35">
        <f>IF(A16&lt;2025,"",INDEX(Model!$K$2:$K$17,MATCH(A16,Model!$A$2:$A$17,0)))</f>
        <v>123779855.58662958</v>
      </c>
      <c r="N16" s="35">
        <f>IF(A16&lt;2025,"",INDEX(Model!$P$2:$P$17,MATCH(A16,Model!$A$2:$A$17,0)))</f>
        <v>123779855.58662958</v>
      </c>
      <c r="O16" s="31">
        <f t="shared" si="2"/>
        <v>6.0410457210626642E-2</v>
      </c>
      <c r="P16" s="35">
        <f t="shared" si="3"/>
        <v>0</v>
      </c>
      <c r="Q16" s="3" t="s">
        <v>531</v>
      </c>
      <c r="R16" s="3" t="s">
        <v>358</v>
      </c>
    </row>
    <row r="17" spans="1:18" ht="34" x14ac:dyDescent="0.2">
      <c r="A17" s="3">
        <v>2031</v>
      </c>
      <c r="B17" s="35" t="str">
        <f>IF(A17&lt;=2026,SUMIFS(EPA_SAF!$G$2:$G$2160,EPA_SAF!$A$2:$A$2160,A17,EPA_SAF!$H$2:$H$2160,1),"")</f>
        <v/>
      </c>
      <c r="C17" s="3" t="str">
        <f t="shared" si="0"/>
        <v/>
      </c>
      <c r="D17" s="35">
        <f>IF(A17&lt;2025,"",IF(A17=2025,B17,IF(A17&lt;=2030,$B$11*(Inputs!$B$28/$B$11)^((A17-2025)/5),IF(A17&lt;=2035,Inputs!$B$28*(Inputs!$B$30/Inputs!$B$28)^((A17-2030)/5),Inputs!$B$30*(1+Inputs!$B$17)^(A17-2035)))))</f>
        <v>2198312504.9700179</v>
      </c>
      <c r="E17" s="35">
        <f>IF(A17&lt;2025,"",IF(A17&lt;=2035,$B$11*(Inputs!$B$31/$B$11)^((A17-2025)/10),Inputs!$B$31*(1+Inputs!$B$17)^(A17-2035)))</f>
        <v>831292882.48134935</v>
      </c>
      <c r="F17" s="35" t="str">
        <f>IF(A17=2030,Inputs!$B$29,"")</f>
        <v/>
      </c>
      <c r="G17" s="35">
        <f>IF(Inputs!$B$16="Conservative",E17,D17)</f>
        <v>2198312504.9700179</v>
      </c>
      <c r="H17" s="35">
        <f>IF(A17&lt;2025,"",INDEX(Model!$Y$2:$Y$17,MATCH(A17,Model!$A$2:$A$17,0)))</f>
        <v>16372261090.909094</v>
      </c>
      <c r="I17" s="35">
        <f>IF(H17="","",H17*Inputs!$B$15)</f>
        <v>0</v>
      </c>
      <c r="J17" s="35">
        <f>IF(A17&lt;2025+Inputs!$B$27,0,SUMIFS($I$4:$I$26,$A$4:$A$26,"&lt;="&amp;A17-Inputs!$B$27))</f>
        <v>0</v>
      </c>
      <c r="K17" s="35">
        <f>IF(G17="","",J17/Inputs!$B$26)</f>
        <v>0</v>
      </c>
      <c r="L17" s="35">
        <f t="shared" si="1"/>
        <v>2198312504.9700179</v>
      </c>
      <c r="M17" s="35">
        <f>IF(A17&lt;2025,"",INDEX(Model!$K$2:$K$17,MATCH(A17,Model!$A$2:$A$17,0)))</f>
        <v>188614754.43595555</v>
      </c>
      <c r="N17" s="35">
        <f>IF(A17&lt;2025,"",INDEX(Model!$P$2:$P$17,MATCH(A17,Model!$A$2:$A$17,0)))</f>
        <v>188614754.43595555</v>
      </c>
      <c r="O17" s="31">
        <f t="shared" si="2"/>
        <v>8.5799791435261841E-2</v>
      </c>
      <c r="P17" s="35">
        <f t="shared" si="3"/>
        <v>0</v>
      </c>
      <c r="Q17" s="3" t="s">
        <v>532</v>
      </c>
      <c r="R17" s="3" t="s">
        <v>360</v>
      </c>
    </row>
    <row r="18" spans="1:18" ht="34" x14ac:dyDescent="0.2">
      <c r="A18" s="3">
        <v>2032</v>
      </c>
      <c r="B18" s="35" t="str">
        <f>IF(A18&lt;=2026,SUMIFS(EPA_SAF!$G$2:$G$2160,EPA_SAF!$A$2:$A$2160,A18,EPA_SAF!$H$2:$H$2160,1),"")</f>
        <v/>
      </c>
      <c r="C18" s="3" t="str">
        <f t="shared" si="0"/>
        <v/>
      </c>
      <c r="D18" s="35">
        <f>IF(A18&lt;2025,"",IF(A18=2025,B18,IF(A18&lt;=2030,$B$11*(Inputs!$B$28/$B$11)^((A18-2025)/5),IF(A18&lt;=2035,Inputs!$B$28*(Inputs!$B$30/Inputs!$B$28)^((A18-2030)/5),Inputs!$B$30*(1+Inputs!$B$17)^(A18-2035)))))</f>
        <v>2358527865.6153307</v>
      </c>
      <c r="E18" s="35">
        <f>IF(A18&lt;2025,"",IF(A18&lt;=2035,$B$11*(Inputs!$B$31/$B$11)^((A18-2025)/10),Inputs!$B$31*(1+Inputs!$B$17)^(A18-2035)))</f>
        <v>992085852.70862138</v>
      </c>
      <c r="F18" s="35" t="str">
        <f>IF(A18=2030,Inputs!$B$29,"")</f>
        <v/>
      </c>
      <c r="G18" s="35">
        <f>IF(Inputs!$B$16="Conservative",E18,D18)</f>
        <v>2358527865.6153307</v>
      </c>
      <c r="H18" s="35">
        <f>IF(A18&lt;2025,"",INDEX(Model!$Y$2:$Y$17,MATCH(A18,Model!$A$2:$A$17,0)))</f>
        <v>16833304063.303091</v>
      </c>
      <c r="I18" s="35">
        <f>IF(H18="","",H18*Inputs!$B$15)</f>
        <v>0</v>
      </c>
      <c r="J18" s="35">
        <f>IF(A18&lt;2025+Inputs!$B$27,0,SUMIFS($I$4:$I$26,$A$4:$A$26,"&lt;="&amp;A18-Inputs!$B$27))</f>
        <v>0</v>
      </c>
      <c r="K18" s="35">
        <f>IF(G18="","",J18/Inputs!$B$26)</f>
        <v>0</v>
      </c>
      <c r="L18" s="35">
        <f t="shared" si="1"/>
        <v>2358527865.6153307</v>
      </c>
      <c r="M18" s="35">
        <f>IF(A18&lt;2025,"",INDEX(Model!$K$2:$K$17,MATCH(A18,Model!$A$2:$A$17,0)))</f>
        <v>256422292.13006049</v>
      </c>
      <c r="N18" s="35">
        <f>IF(A18&lt;2025,"",INDEX(Model!$P$2:$P$17,MATCH(A18,Model!$A$2:$A$17,0)))</f>
        <v>256422292.13006049</v>
      </c>
      <c r="O18" s="31">
        <f t="shared" si="2"/>
        <v>0.10872133243300092</v>
      </c>
      <c r="P18" s="35">
        <f t="shared" si="3"/>
        <v>0</v>
      </c>
      <c r="Q18" s="3" t="s">
        <v>532</v>
      </c>
      <c r="R18" s="3" t="s">
        <v>360</v>
      </c>
    </row>
    <row r="19" spans="1:18" ht="34" x14ac:dyDescent="0.2">
      <c r="A19" s="3">
        <v>2033</v>
      </c>
      <c r="B19" s="35" t="str">
        <f>IF(A19&lt;=2026,SUMIFS(EPA_SAF!$G$2:$G$2160,EPA_SAF!$A$2:$A$2160,A19,EPA_SAF!$H$2:$H$2160,1),"")</f>
        <v/>
      </c>
      <c r="C19" s="3" t="str">
        <f t="shared" si="0"/>
        <v/>
      </c>
      <c r="D19" s="35">
        <f>IF(A19&lt;2025,"",IF(A19=2025,B19,IF(A19&lt;=2030,$B$11*(Inputs!$B$28/$B$11)^((A19-2025)/5),IF(A19&lt;=2035,Inputs!$B$28*(Inputs!$B$30/Inputs!$B$28)^((A19-2030)/5),Inputs!$B$30*(1+Inputs!$B$17)^(A19-2035)))))</f>
        <v>2530419892.6712089</v>
      </c>
      <c r="E19" s="35">
        <f>IF(A19&lt;2025,"",IF(A19&lt;=2035,$B$11*(Inputs!$B$31/$B$11)^((A19-2025)/10),Inputs!$B$31*(1+Inputs!$B$17)^(A19-2035)))</f>
        <v>1183980231.1391432</v>
      </c>
      <c r="F19" s="35" t="str">
        <f>IF(A19=2030,Inputs!$B$29,"")</f>
        <v/>
      </c>
      <c r="G19" s="35">
        <f>IF(Inputs!$B$16="Conservative",E19,D19)</f>
        <v>2530419892.6712089</v>
      </c>
      <c r="H19" s="35">
        <f>IF(A19&lt;2025,"",INDEX(Model!$Y$2:$Y$17,MATCH(A19,Model!$A$2:$A$17,0)))</f>
        <v>17307330008.617783</v>
      </c>
      <c r="I19" s="35">
        <f>IF(H19="","",H19*Inputs!$B$15)</f>
        <v>0</v>
      </c>
      <c r="J19" s="35">
        <f>IF(A19&lt;2025+Inputs!$B$27,0,SUMIFS($I$4:$I$26,$A$4:$A$26,"&lt;="&amp;A19-Inputs!$B$27))</f>
        <v>0</v>
      </c>
      <c r="K19" s="35">
        <f>IF(G19="","",J19/Inputs!$B$26)</f>
        <v>0</v>
      </c>
      <c r="L19" s="35">
        <f t="shared" si="1"/>
        <v>2530419892.6712089</v>
      </c>
      <c r="M19" s="35">
        <f>IF(A19&lt;2025,"",INDEX(Model!$K$2:$K$17,MATCH(A19,Model!$A$2:$A$17,0)))</f>
        <v>326811461.76991034</v>
      </c>
      <c r="N19" s="35">
        <f>IF(A19&lt;2025,"",INDEX(Model!$P$2:$P$17,MATCH(A19,Model!$A$2:$A$17,0)))</f>
        <v>326811461.76991034</v>
      </c>
      <c r="O19" s="31">
        <f t="shared" si="2"/>
        <v>0.12915305586888806</v>
      </c>
      <c r="P19" s="35">
        <f t="shared" si="3"/>
        <v>0</v>
      </c>
      <c r="Q19" s="3" t="s">
        <v>532</v>
      </c>
      <c r="R19" s="3" t="s">
        <v>360</v>
      </c>
    </row>
    <row r="20" spans="1:18" ht="34" x14ac:dyDescent="0.2">
      <c r="A20" s="3">
        <v>2034</v>
      </c>
      <c r="B20" s="35" t="str">
        <f>IF(A20&lt;=2026,SUMIFS(EPA_SAF!$G$2:$G$2160,EPA_SAF!$A$2:$A$2160,A20,EPA_SAF!$H$2:$H$2160,1),"")</f>
        <v/>
      </c>
      <c r="C20" s="3" t="str">
        <f t="shared" si="0"/>
        <v/>
      </c>
      <c r="D20" s="35">
        <f>IF(A20&lt;2025,"",IF(A20=2025,B20,IF(A20&lt;=2030,$B$11*(Inputs!$B$28/$B$11)^((A20-2025)/5),IF(A20&lt;=2035,Inputs!$B$28*(Inputs!$B$30/Inputs!$B$28)^((A20-2030)/5),Inputs!$B$30*(1+Inputs!$B$17)^(A20-2035)))))</f>
        <v>2714839594.0429754</v>
      </c>
      <c r="E20" s="35">
        <f>IF(A20&lt;2025,"",IF(A20&lt;=2035,$B$11*(Inputs!$B$31/$B$11)^((A20-2025)/10),Inputs!$B$31*(1+Inputs!$B$17)^(A20-2035)))</f>
        <v>1412991813.0583553</v>
      </c>
      <c r="F20" s="35" t="str">
        <f>IF(A20=2030,Inputs!$B$29,"")</f>
        <v/>
      </c>
      <c r="G20" s="35">
        <f>IF(Inputs!$B$16="Conservative",E20,D20)</f>
        <v>2714839594.0429754</v>
      </c>
      <c r="H20" s="35">
        <f>IF(A20&lt;2025,"",INDEX(Model!$Y$2:$Y$17,MATCH(A20,Model!$A$2:$A$17,0)))</f>
        <v>17794704527.449986</v>
      </c>
      <c r="I20" s="35">
        <f>IF(H20="","",H20*Inputs!$B$15)</f>
        <v>0</v>
      </c>
      <c r="J20" s="35">
        <f>IF(A20&lt;2025+Inputs!$B$27,0,SUMIFS($I$4:$I$26,$A$4:$A$26,"&lt;="&amp;A20-Inputs!$B$27))</f>
        <v>0</v>
      </c>
      <c r="K20" s="35">
        <f>IF(G20="","",J20/Inputs!$B$26)</f>
        <v>0</v>
      </c>
      <c r="L20" s="35">
        <f t="shared" si="1"/>
        <v>2714839594.0429754</v>
      </c>
      <c r="M20" s="35">
        <f>IF(A20&lt;2025,"",INDEX(Model!$K$2:$K$17,MATCH(A20,Model!$A$2:$A$17,0)))</f>
        <v>399898884.74419606</v>
      </c>
      <c r="N20" s="35">
        <f>IF(A20&lt;2025,"",INDEX(Model!$P$2:$P$17,MATCH(A20,Model!$A$2:$A$17,0)))</f>
        <v>399898884.74419606</v>
      </c>
      <c r="O20" s="31">
        <f t="shared" si="2"/>
        <v>0.14730110965733387</v>
      </c>
      <c r="P20" s="35">
        <f t="shared" si="3"/>
        <v>0</v>
      </c>
      <c r="Q20" s="3" t="s">
        <v>532</v>
      </c>
      <c r="R20" s="3" t="s">
        <v>360</v>
      </c>
    </row>
    <row r="21" spans="1:18" ht="34" x14ac:dyDescent="0.2">
      <c r="A21" s="3">
        <v>2035</v>
      </c>
      <c r="B21" s="35" t="str">
        <f>IF(A21&lt;=2026,SUMIFS(EPA_SAF!$G$2:$G$2160,EPA_SAF!$A$2:$A$2160,A21,EPA_SAF!$H$2:$H$2160,1),"")</f>
        <v/>
      </c>
      <c r="C21" s="3" t="str">
        <f t="shared" si="0"/>
        <v/>
      </c>
      <c r="D21" s="35">
        <f>IF(A21&lt;2025,"",IF(A21=2025,B21,IF(A21&lt;=2030,$B$11*(Inputs!$B$28/$B$11)^((A21-2025)/5),IF(A21&lt;=2035,Inputs!$B$28*(Inputs!$B$30/Inputs!$B$28)^((A21-2030)/5),Inputs!$B$30*(1+Inputs!$B$17)^(A21-2035)))))</f>
        <v>2912700000</v>
      </c>
      <c r="E21" s="35">
        <f>IF(A21&lt;2025,"",IF(A21&lt;=2035,$B$11*(Inputs!$B$31/$B$11)^((A21-2025)/10),Inputs!$B$31*(1+Inputs!$B$17)^(A21-2035)))</f>
        <v>1686300000</v>
      </c>
      <c r="F21" s="35" t="str">
        <f>IF(A21=2030,Inputs!$B$29,"")</f>
        <v/>
      </c>
      <c r="G21" s="35">
        <f>IF(Inputs!$B$16="Conservative",E21,D21)</f>
        <v>2912700000</v>
      </c>
      <c r="H21" s="35">
        <f>IF(A21&lt;2025,"",INDEX(Model!$Y$2:$Y$17,MATCH(A21,Model!$A$2:$A$17,0)))</f>
        <v>18295803515.71154</v>
      </c>
      <c r="I21" s="35">
        <f>IF(H21="","",H21*Inputs!$B$15)</f>
        <v>0</v>
      </c>
      <c r="J21" s="35">
        <f>IF(A21&lt;2025+Inputs!$B$27,0,SUMIFS($I$4:$I$26,$A$4:$A$26,"&lt;="&amp;A21-Inputs!$B$27))</f>
        <v>0</v>
      </c>
      <c r="K21" s="35">
        <f>IF(G21="","",J21/Inputs!$B$26)</f>
        <v>0</v>
      </c>
      <c r="L21" s="35">
        <f t="shared" si="1"/>
        <v>2912700000</v>
      </c>
      <c r="M21" s="35">
        <f>IF(A21&lt;2025,"",INDEX(Model!$K$2:$K$17,MATCH(A21,Model!$A$2:$A$17,0)))</f>
        <v>475761852.2313208</v>
      </c>
      <c r="N21" s="35">
        <f>IF(A21&lt;2025,"",INDEX(Model!$P$2:$P$17,MATCH(A21,Model!$A$2:$A$17,0)))</f>
        <v>475761852.2313208</v>
      </c>
      <c r="O21" s="31">
        <f t="shared" si="2"/>
        <v>0.16334049240612517</v>
      </c>
      <c r="P21" s="35">
        <f t="shared" si="3"/>
        <v>0</v>
      </c>
      <c r="Q21" s="3" t="s">
        <v>532</v>
      </c>
      <c r="R21" s="3" t="s">
        <v>360</v>
      </c>
    </row>
    <row r="22" spans="1:18" ht="34" x14ac:dyDescent="0.2">
      <c r="A22" s="3">
        <v>2036</v>
      </c>
      <c r="B22" s="35" t="str">
        <f>IF(A22&lt;=2026,SUMIFS(EPA_SAF!$G$2:$G$2160,EPA_SAF!$A$2:$A$2160,A22,EPA_SAF!$H$2:$H$2160,1),"")</f>
        <v/>
      </c>
      <c r="C22" s="3" t="str">
        <f t="shared" si="0"/>
        <v/>
      </c>
      <c r="D22" s="35">
        <f>IF(A22&lt;2025,"",IF(A22=2025,B22,IF(A22&lt;=2030,$B$11*(Inputs!$B$28/$B$11)^((A22-2025)/5),IF(A22&lt;=2035,Inputs!$B$28*(Inputs!$B$30/Inputs!$B$28)^((A22-2030)/5),Inputs!$B$30*(1+Inputs!$B$17)^(A22-2035)))))</f>
        <v>3203970000.0000005</v>
      </c>
      <c r="E22" s="35">
        <f>IF(A22&lt;2025,"",IF(A22&lt;=2035,$B$11*(Inputs!$B$31/$B$11)^((A22-2025)/10),Inputs!$B$31*(1+Inputs!$B$17)^(A22-2035)))</f>
        <v>1854930000.0000002</v>
      </c>
      <c r="F22" s="35" t="str">
        <f>IF(A22=2030,Inputs!$B$29,"")</f>
        <v/>
      </c>
      <c r="G22" s="35">
        <f>IF(Inputs!$B$16="Conservative",E22,D22)</f>
        <v>3203970000.0000005</v>
      </c>
      <c r="H22" s="35">
        <f>IF(A22&lt;2025,"",INDEX(Model!$Y$2:$Y$17,MATCH(A22,Model!$A$2:$A$17,0)))</f>
        <v>18811013454.545456</v>
      </c>
      <c r="I22" s="35">
        <f>IF(H22="","",H22*Inputs!$B$15)</f>
        <v>0</v>
      </c>
      <c r="J22" s="35">
        <f>IF(A22&lt;2025+Inputs!$B$27,0,SUMIFS($I$4:$I$26,$A$4:$A$26,"&lt;="&amp;A22-Inputs!$B$27))</f>
        <v>0</v>
      </c>
      <c r="K22" s="35">
        <f>IF(G22="","",J22/Inputs!$B$26)</f>
        <v>0</v>
      </c>
      <c r="L22" s="35">
        <f t="shared" si="1"/>
        <v>3203970000.0000005</v>
      </c>
      <c r="M22" s="35">
        <f>IF(A22&lt;2025,"",INDEX(Model!$K$2:$K$17,MATCH(A22,Model!$A$2:$A$17,0)))</f>
        <v>554495335.19184911</v>
      </c>
      <c r="N22" s="35">
        <f>IF(A22&lt;2025,"",INDEX(Model!$P$2:$P$17,MATCH(A22,Model!$A$2:$A$17,0)))</f>
        <v>554495335.19184911</v>
      </c>
      <c r="O22" s="31">
        <f t="shared" si="2"/>
        <v>0.1730650833783865</v>
      </c>
      <c r="P22" s="35">
        <f t="shared" si="3"/>
        <v>0</v>
      </c>
      <c r="Q22" s="3" t="s">
        <v>533</v>
      </c>
      <c r="R22" s="3" t="s">
        <v>534</v>
      </c>
    </row>
    <row r="23" spans="1:18" ht="34" x14ac:dyDescent="0.2">
      <c r="A23" s="3">
        <v>2037</v>
      </c>
      <c r="B23" s="35" t="str">
        <f>IF(A23&lt;=2026,SUMIFS(EPA_SAF!$G$2:$G$2160,EPA_SAF!$A$2:$A$2160,A23,EPA_SAF!$H$2:$H$2160,1),"")</f>
        <v/>
      </c>
      <c r="C23" s="3" t="str">
        <f t="shared" si="0"/>
        <v/>
      </c>
      <c r="D23" s="35">
        <f>IF(A23&lt;2025,"",IF(A23=2025,B23,IF(A23&lt;=2030,$B$11*(Inputs!$B$28/$B$11)^((A23-2025)/5),IF(A23&lt;=2035,Inputs!$B$28*(Inputs!$B$30/Inputs!$B$28)^((A23-2030)/5),Inputs!$B$30*(1+Inputs!$B$17)^(A23-2035)))))</f>
        <v>3524367000.0000005</v>
      </c>
      <c r="E23" s="35">
        <f>IF(A23&lt;2025,"",IF(A23&lt;=2035,$B$11*(Inputs!$B$31/$B$11)^((A23-2025)/10),Inputs!$B$31*(1+Inputs!$B$17)^(A23-2035)))</f>
        <v>2040423000.0000002</v>
      </c>
      <c r="F23" s="35" t="str">
        <f>IF(A23=2030,Inputs!$B$29,"")</f>
        <v/>
      </c>
      <c r="G23" s="35">
        <f>IF(Inputs!$B$16="Conservative",E23,D23)</f>
        <v>3524367000.0000005</v>
      </c>
      <c r="H23" s="35">
        <f>IF(A23&lt;2025,"",INDEX(Model!$Y$2:$Y$17,MATCH(A23,Model!$A$2:$A$17,0)))</f>
        <v>19285034349.453423</v>
      </c>
      <c r="I23" s="35">
        <f>IF(H23="","",H23*Inputs!$B$15)</f>
        <v>0</v>
      </c>
      <c r="J23" s="35">
        <f>IF(A23&lt;2025+Inputs!$B$27,0,SUMIFS($I$4:$I$26,$A$4:$A$26,"&lt;="&amp;A23-Inputs!$B$27))</f>
        <v>0</v>
      </c>
      <c r="K23" s="35">
        <f>IF(G23="","",J23/Inputs!$B$26)</f>
        <v>0</v>
      </c>
      <c r="L23" s="35">
        <f t="shared" si="1"/>
        <v>3524367000.0000005</v>
      </c>
      <c r="M23" s="35">
        <f>IF(A23&lt;2025,"",INDEX(Model!$K$2:$K$17,MATCH(A23,Model!$A$2:$A$17,0)))</f>
        <v>634399377.95360351</v>
      </c>
      <c r="N23" s="35">
        <f>IF(A23&lt;2025,"",INDEX(Model!$P$2:$P$17,MATCH(A23,Model!$A$2:$A$17,0)))</f>
        <v>634399377.95360351</v>
      </c>
      <c r="O23" s="31">
        <f t="shared" si="2"/>
        <v>0.18000377882144608</v>
      </c>
      <c r="P23" s="35">
        <f t="shared" si="3"/>
        <v>0</v>
      </c>
      <c r="Q23" s="3" t="s">
        <v>533</v>
      </c>
      <c r="R23" s="3" t="s">
        <v>534</v>
      </c>
    </row>
    <row r="24" spans="1:18" ht="34" x14ac:dyDescent="0.2">
      <c r="A24" s="3">
        <v>2038</v>
      </c>
      <c r="B24" s="35" t="str">
        <f>IF(A24&lt;=2026,SUMIFS(EPA_SAF!$G$2:$G$2160,EPA_SAF!$A$2:$A$2160,A24,EPA_SAF!$H$2:$H$2160,1),"")</f>
        <v/>
      </c>
      <c r="C24" s="3" t="str">
        <f t="shared" si="0"/>
        <v/>
      </c>
      <c r="D24" s="35">
        <f>IF(A24&lt;2025,"",IF(A24=2025,B24,IF(A24&lt;=2030,$B$11*(Inputs!$B$28/$B$11)^((A24-2025)/5),IF(A24&lt;=2035,Inputs!$B$28*(Inputs!$B$30/Inputs!$B$28)^((A24-2030)/5),Inputs!$B$30*(1+Inputs!$B$17)^(A24-2035)))))</f>
        <v>3876803700.000001</v>
      </c>
      <c r="E24" s="35">
        <f>IF(A24&lt;2025,"",IF(A24&lt;=2035,$B$11*(Inputs!$B$31/$B$11)^((A24-2025)/10),Inputs!$B$31*(1+Inputs!$B$17)^(A24-2035)))</f>
        <v>2244465300.0000005</v>
      </c>
      <c r="F24" s="35" t="str">
        <f>IF(A24=2030,Inputs!$B$29,"")</f>
        <v/>
      </c>
      <c r="G24" s="35">
        <f>IF(Inputs!$B$16="Conservative",E24,D24)</f>
        <v>3876803700.000001</v>
      </c>
      <c r="H24" s="35">
        <f>IF(A24&lt;2025,"",INDEX(Model!$Y$2:$Y$17,MATCH(A24,Model!$A$2:$A$17,0)))</f>
        <v>19771000151.495304</v>
      </c>
      <c r="I24" s="35">
        <f>IF(H24="","",H24*Inputs!$B$15)</f>
        <v>0</v>
      </c>
      <c r="J24" s="35">
        <f>IF(A24&lt;2025+Inputs!$B$27,0,SUMIFS($I$4:$I$26,$A$4:$A$26,"&lt;="&amp;A24-Inputs!$B$27))</f>
        <v>0</v>
      </c>
      <c r="K24" s="35">
        <f>IF(G24="","",J24/Inputs!$B$26)</f>
        <v>0</v>
      </c>
      <c r="L24" s="35">
        <f t="shared" si="1"/>
        <v>3876803700.000001</v>
      </c>
      <c r="M24" s="35">
        <f>IF(A24&lt;2025,"",INDEX(Model!$K$2:$K$17,MATCH(A24,Model!$A$2:$A$17,0)))</f>
        <v>716764649.25164449</v>
      </c>
      <c r="N24" s="35">
        <f>IF(A24&lt;2025,"",INDEX(Model!$P$2:$P$17,MATCH(A24,Model!$A$2:$A$17,0)))</f>
        <v>716764649.25164449</v>
      </c>
      <c r="O24" s="31">
        <f t="shared" si="2"/>
        <v>0.18488546357187091</v>
      </c>
      <c r="P24" s="35">
        <f t="shared" si="3"/>
        <v>0</v>
      </c>
      <c r="Q24" s="3" t="s">
        <v>533</v>
      </c>
      <c r="R24" s="3" t="s">
        <v>534</v>
      </c>
    </row>
    <row r="25" spans="1:18" ht="34" x14ac:dyDescent="0.2">
      <c r="A25" s="3">
        <v>2039</v>
      </c>
      <c r="B25" s="35" t="str">
        <f>IF(A25&lt;=2026,SUMIFS(EPA_SAF!$G$2:$G$2160,EPA_SAF!$A$2:$A$2160,A25,EPA_SAF!$H$2:$H$2160,1),"")</f>
        <v/>
      </c>
      <c r="C25" s="3" t="str">
        <f t="shared" si="0"/>
        <v/>
      </c>
      <c r="D25" s="35">
        <f>IF(A25&lt;2025,"",IF(A25=2025,B25,IF(A25&lt;=2030,$B$11*(Inputs!$B$28/$B$11)^((A25-2025)/5),IF(A25&lt;=2035,Inputs!$B$28*(Inputs!$B$30/Inputs!$B$28)^((A25-2030)/5),Inputs!$B$30*(1+Inputs!$B$17)^(A25-2035)))))</f>
        <v>4264484070.000001</v>
      </c>
      <c r="E25" s="35">
        <f>IF(A25&lt;2025,"",IF(A25&lt;=2035,$B$11*(Inputs!$B$31/$B$11)^((A25-2025)/10),Inputs!$B$31*(1+Inputs!$B$17)^(A25-2035)))</f>
        <v>2468911830.0000005</v>
      </c>
      <c r="F25" s="35" t="str">
        <f>IF(A25=2030,Inputs!$B$29,"")</f>
        <v/>
      </c>
      <c r="G25" s="35">
        <f>IF(Inputs!$B$16="Conservative",E25,D25)</f>
        <v>4264484070.000001</v>
      </c>
      <c r="H25" s="35">
        <f>IF(A25&lt;2025,"",INDEX(Model!$Y$2:$Y$17,MATCH(A25,Model!$A$2:$A$17,0)))</f>
        <v>20269211861.761917</v>
      </c>
      <c r="I25" s="35">
        <f>IF(H25="","",H25*Inputs!$B$15)</f>
        <v>0</v>
      </c>
      <c r="J25" s="35">
        <f>IF(A25&lt;2025+Inputs!$B$27,0,SUMIFS($I$4:$I$26,$A$4:$A$26,"&lt;="&amp;A25-Inputs!$B$27))</f>
        <v>0</v>
      </c>
      <c r="K25" s="35">
        <f>IF(G25="","",J25/Inputs!$B$26)</f>
        <v>0</v>
      </c>
      <c r="L25" s="35">
        <f t="shared" si="1"/>
        <v>4264484070.000001</v>
      </c>
      <c r="M25" s="35">
        <f>IF(A25&lt;2025,"",INDEX(Model!$K$2:$K$17,MATCH(A25,Model!$A$2:$A$17,0)))</f>
        <v>801860410.42507482</v>
      </c>
      <c r="N25" s="35">
        <f>IF(A25&lt;2025,"",INDEX(Model!$P$2:$P$17,MATCH(A25,Model!$A$2:$A$17,0)))</f>
        <v>801860410.42507482</v>
      </c>
      <c r="O25" s="31">
        <f t="shared" si="2"/>
        <v>0.18803222084144744</v>
      </c>
      <c r="P25" s="35">
        <f t="shared" si="3"/>
        <v>0</v>
      </c>
      <c r="Q25" s="3" t="s">
        <v>533</v>
      </c>
      <c r="R25" s="3" t="s">
        <v>534</v>
      </c>
    </row>
    <row r="26" spans="1:18" ht="34" x14ac:dyDescent="0.2">
      <c r="A26" s="3">
        <v>2040</v>
      </c>
      <c r="B26" s="35" t="str">
        <f>IF(A26&lt;=2026,SUMIFS(EPA_SAF!$G$2:$G$2160,EPA_SAF!$A$2:$A$2160,A26,EPA_SAF!$H$2:$H$2160,1),"")</f>
        <v/>
      </c>
      <c r="C26" s="3" t="str">
        <f t="shared" si="0"/>
        <v/>
      </c>
      <c r="D26" s="35">
        <f>IF(A26&lt;2025,"",IF(A26=2025,B26,IF(A26&lt;=2030,$B$11*(Inputs!$B$28/$B$11)^((A26-2025)/5),IF(A26&lt;=2035,Inputs!$B$28*(Inputs!$B$30/Inputs!$B$28)^((A26-2030)/5),Inputs!$B$30*(1+Inputs!$B$17)^(A26-2035)))))</f>
        <v>4690932477.0000019</v>
      </c>
      <c r="E26" s="35">
        <f>IF(A26&lt;2025,"",IF(A26&lt;=2035,$B$11*(Inputs!$B$31/$B$11)^((A26-2025)/10),Inputs!$B$31*(1+Inputs!$B$17)^(A26-2035)))</f>
        <v>2715803013.000001</v>
      </c>
      <c r="F26" s="35" t="str">
        <f>IF(A26=2030,Inputs!$B$29,"")</f>
        <v/>
      </c>
      <c r="G26" s="35">
        <f>IF(Inputs!$B$16="Conservative",E26,D26)</f>
        <v>4690932477.0000019</v>
      </c>
      <c r="H26" s="35">
        <f>IF(A26&lt;2025,"",INDEX(Model!$Y$2:$Y$17,MATCH(A26,Model!$A$2:$A$17,0)))</f>
        <v>20779978066.305241</v>
      </c>
      <c r="I26" s="35">
        <f>IF(H26="","",H26*Inputs!$B$15)</f>
        <v>0</v>
      </c>
      <c r="J26" s="35">
        <f>IF(A26&lt;2025+Inputs!$B$27,0,SUMIFS($I$4:$I$26,$A$4:$A$26,"&lt;="&amp;A26-Inputs!$B$27))</f>
        <v>0</v>
      </c>
      <c r="K26" s="35">
        <f>IF(G26="","",J26/Inputs!$B$26)</f>
        <v>0</v>
      </c>
      <c r="L26" s="35">
        <f t="shared" si="1"/>
        <v>4690932477.0000019</v>
      </c>
      <c r="M26" s="35">
        <f>IF(A26&lt;2025,"",INDEX(Model!$K$2:$K$17,MATCH(A26,Model!$A$2:$A$17,0)))</f>
        <v>889544843.67778158</v>
      </c>
      <c r="N26" s="35">
        <f>IF(A26&lt;2025,"",INDEX(Model!$P$2:$P$17,MATCH(A26,Model!$A$2:$A$17,0)))</f>
        <v>889544843.67778158</v>
      </c>
      <c r="O26" s="31">
        <f t="shared" si="2"/>
        <v>0.18963070733575627</v>
      </c>
      <c r="P26" s="35">
        <f t="shared" si="3"/>
        <v>0</v>
      </c>
      <c r="Q26" s="3" t="s">
        <v>533</v>
      </c>
      <c r="R26" s="3" t="s">
        <v>534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"/>
  <sheetViews>
    <sheetView workbookViewId="0">
      <selection sqref="A1:I1"/>
    </sheetView>
  </sheetViews>
  <sheetFormatPr baseColWidth="10" defaultColWidth="8.83203125" defaultRowHeight="16" x14ac:dyDescent="0.2"/>
  <cols>
    <col min="1" max="1" width="12" customWidth="1"/>
    <col min="2" max="2" width="20" customWidth="1"/>
    <col min="3" max="3" width="22" customWidth="1"/>
    <col min="4" max="4" width="28" customWidth="1"/>
    <col min="5" max="5" width="19" customWidth="1"/>
    <col min="6" max="7" width="18" customWidth="1"/>
    <col min="8" max="8" width="20" customWidth="1"/>
    <col min="9" max="9" width="18" customWidth="1"/>
    <col min="10" max="10" width="25" customWidth="1"/>
    <col min="11" max="11" width="42" customWidth="1"/>
    <col min="12" max="12" width="55" customWidth="1"/>
  </cols>
  <sheetData>
    <row r="1" spans="1:12" ht="20" x14ac:dyDescent="0.25">
      <c r="A1" s="105" t="s">
        <v>535</v>
      </c>
      <c r="B1" s="105"/>
      <c r="C1" s="105"/>
      <c r="D1" s="105"/>
      <c r="E1" s="105"/>
      <c r="F1" s="105"/>
      <c r="G1" s="105"/>
      <c r="H1" s="105"/>
      <c r="I1" s="105"/>
      <c r="J1" s="76"/>
      <c r="K1" s="76"/>
      <c r="L1" s="76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4" x14ac:dyDescent="0.2">
      <c r="A3" s="68" t="s">
        <v>8</v>
      </c>
      <c r="B3" s="68" t="s">
        <v>388</v>
      </c>
      <c r="C3" s="68" t="s">
        <v>536</v>
      </c>
      <c r="D3" s="68" t="s">
        <v>537</v>
      </c>
      <c r="E3" s="68" t="s">
        <v>538</v>
      </c>
      <c r="F3" s="68" t="s">
        <v>509</v>
      </c>
      <c r="G3" s="68" t="s">
        <v>539</v>
      </c>
      <c r="H3" s="68" t="s">
        <v>540</v>
      </c>
      <c r="I3" s="68" t="s">
        <v>541</v>
      </c>
      <c r="J3" s="68" t="s">
        <v>448</v>
      </c>
      <c r="K3" s="68" t="s">
        <v>525</v>
      </c>
      <c r="L3" s="68" t="s">
        <v>526</v>
      </c>
    </row>
    <row r="4" spans="1:12" ht="34" x14ac:dyDescent="0.2">
      <c r="A4" s="3">
        <v>2025</v>
      </c>
      <c r="B4" s="36">
        <f>INDEX(Model!$Y$2:$Y$17,MATCH(A4,Model!$A$2:$A$17,0))</f>
        <v>14239000000</v>
      </c>
      <c r="C4" s="36">
        <f>'Alaska Base'!$C$27</f>
        <v>1600000000</v>
      </c>
      <c r="D4" s="36" t="s">
        <v>542</v>
      </c>
      <c r="E4" s="31">
        <f t="shared" ref="E4:E9" si="0">C4/B4</f>
        <v>0.11236744153381557</v>
      </c>
      <c r="F4" s="36">
        <f>INDEX(Model!$W$2:$W$17,MATCH(A4,Model!$A$2:$A$17,0))</f>
        <v>27336771.440000534</v>
      </c>
      <c r="G4" s="31">
        <f t="shared" ref="G4:G9" si="1">F4/B4</f>
        <v>1.9198519165672121E-3</v>
      </c>
      <c r="H4" s="31">
        <f>Inputs!$B$15</f>
        <v>0</v>
      </c>
      <c r="I4" s="36">
        <f t="shared" ref="I4:I9" si="2">B4*H4</f>
        <v>0</v>
      </c>
      <c r="J4" s="31">
        <f t="shared" ref="J4:J9" si="3">(C4+F4+I4)/B4</f>
        <v>0.11428729345038278</v>
      </c>
      <c r="K4" s="3" t="s">
        <v>97</v>
      </c>
      <c r="L4" s="3" t="s">
        <v>543</v>
      </c>
    </row>
    <row r="5" spans="1:12" ht="34" x14ac:dyDescent="0.2">
      <c r="A5" s="3">
        <v>2026</v>
      </c>
      <c r="B5" s="36">
        <f>INDEX(Model!$Y$2:$Y$17,MATCH(A5,Model!$A$2:$A$17,0))</f>
        <v>14552775781.818182</v>
      </c>
      <c r="C5" s="36">
        <f>'Alaska Base'!$C$28</f>
        <v>1450000000</v>
      </c>
      <c r="D5" s="36" t="s">
        <v>544</v>
      </c>
      <c r="E5" s="31">
        <f t="shared" si="0"/>
        <v>9.9637349034923509E-2</v>
      </c>
      <c r="F5" s="36">
        <f>INDEX(Model!$W$2:$W$17,MATCH(A5,Model!$A$2:$A$17,0))</f>
        <v>71806920.183515549</v>
      </c>
      <c r="G5" s="31">
        <f t="shared" si="1"/>
        <v>4.9342421858260908E-3</v>
      </c>
      <c r="H5" s="31">
        <f>Inputs!$B$15</f>
        <v>0</v>
      </c>
      <c r="I5" s="36">
        <f t="shared" si="2"/>
        <v>0</v>
      </c>
      <c r="J5" s="31">
        <f t="shared" si="3"/>
        <v>0.10457159122074959</v>
      </c>
      <c r="K5" s="3" t="s">
        <v>545</v>
      </c>
      <c r="L5" s="3" t="s">
        <v>546</v>
      </c>
    </row>
    <row r="6" spans="1:12" ht="34" x14ac:dyDescent="0.2">
      <c r="A6" s="3">
        <v>2027</v>
      </c>
      <c r="B6" s="36">
        <f>INDEX(Model!$Y$2:$Y$17,MATCH(A6,Model!$A$2:$A$17,0))</f>
        <v>14899730146.666674</v>
      </c>
      <c r="C6" s="36">
        <f>1614000000</f>
        <v>1614000000</v>
      </c>
      <c r="D6" s="36" t="s">
        <v>547</v>
      </c>
      <c r="E6" s="31">
        <f t="shared" si="0"/>
        <v>0.10832410950483419</v>
      </c>
      <c r="F6" s="36">
        <f>INDEX(Model!$W$2:$W$17,MATCH(A6,Model!$A$2:$A$17,0))</f>
        <v>129533258.75768566</v>
      </c>
      <c r="G6" s="31">
        <f t="shared" si="1"/>
        <v>8.6936647498051817E-3</v>
      </c>
      <c r="H6" s="31">
        <f>Inputs!$B$15</f>
        <v>0</v>
      </c>
      <c r="I6" s="36">
        <f t="shared" si="2"/>
        <v>0</v>
      </c>
      <c r="J6" s="31">
        <f t="shared" si="3"/>
        <v>0.11701777425463937</v>
      </c>
      <c r="K6" s="3" t="s">
        <v>548</v>
      </c>
      <c r="L6" s="3" t="s">
        <v>549</v>
      </c>
    </row>
    <row r="7" spans="1:12" ht="34" x14ac:dyDescent="0.2">
      <c r="A7" s="3">
        <v>2028</v>
      </c>
      <c r="B7" s="36">
        <f>INDEX(Model!$Y$2:$Y$17,MATCH(A7,Model!$A$2:$A$17,0))</f>
        <v>15254956289.565771</v>
      </c>
      <c r="C7" s="36">
        <f>1666000000</f>
        <v>1666000000</v>
      </c>
      <c r="D7" s="36" t="s">
        <v>547</v>
      </c>
      <c r="E7" s="31">
        <f t="shared" si="0"/>
        <v>0.10921040797340903</v>
      </c>
      <c r="F7" s="36">
        <f>INDEX(Model!$W$2:$W$17,MATCH(A7,Model!$A$2:$A$17,0))</f>
        <v>188902686.72316742</v>
      </c>
      <c r="G7" s="31">
        <f t="shared" si="1"/>
        <v>1.2383036905348255E-2</v>
      </c>
      <c r="H7" s="31">
        <f>Inputs!$B$15</f>
        <v>0</v>
      </c>
      <c r="I7" s="36">
        <f t="shared" si="2"/>
        <v>0</v>
      </c>
      <c r="J7" s="31">
        <f t="shared" si="3"/>
        <v>0.12159344487875728</v>
      </c>
      <c r="K7" s="3" t="s">
        <v>548</v>
      </c>
      <c r="L7" s="3" t="s">
        <v>549</v>
      </c>
    </row>
    <row r="8" spans="1:12" ht="34" x14ac:dyDescent="0.2">
      <c r="A8" s="3">
        <v>2029</v>
      </c>
      <c r="B8" s="36">
        <f>INDEX(Model!$Y$2:$Y$17,MATCH(A8,Model!$A$2:$A$17,0))</f>
        <v>15618651418.906691</v>
      </c>
      <c r="C8" s="36">
        <f>1168000000</f>
        <v>1168000000</v>
      </c>
      <c r="D8" s="36" t="s">
        <v>547</v>
      </c>
      <c r="E8" s="31">
        <f t="shared" si="0"/>
        <v>7.4782384770180135E-2</v>
      </c>
      <c r="F8" s="36">
        <f>INDEX(Model!$W$2:$W$17,MATCH(A8,Model!$A$2:$A$17,0))</f>
        <v>252333249.50558805</v>
      </c>
      <c r="G8" s="31">
        <f t="shared" si="1"/>
        <v>1.6155892255853382E-2</v>
      </c>
      <c r="H8" s="31">
        <f>Inputs!$B$15</f>
        <v>0</v>
      </c>
      <c r="I8" s="36">
        <f t="shared" si="2"/>
        <v>0</v>
      </c>
      <c r="J8" s="31">
        <f t="shared" si="3"/>
        <v>9.093827702603352E-2</v>
      </c>
      <c r="K8" s="3" t="s">
        <v>548</v>
      </c>
      <c r="L8" s="3" t="s">
        <v>549</v>
      </c>
    </row>
    <row r="9" spans="1:12" ht="34" x14ac:dyDescent="0.2">
      <c r="A9" s="3">
        <v>2030</v>
      </c>
      <c r="B9" s="36">
        <f>INDEX(Model!$Y$2:$Y$17,MATCH(A9,Model!$A$2:$A$17,0))</f>
        <v>15991017444.7481</v>
      </c>
      <c r="C9" s="36">
        <f>1050000000</f>
        <v>1050000000</v>
      </c>
      <c r="D9" s="36" t="s">
        <v>547</v>
      </c>
      <c r="E9" s="31">
        <f t="shared" si="0"/>
        <v>6.5661863207137544E-2</v>
      </c>
      <c r="F9" s="36">
        <f>INDEX(Model!$W$2:$W$17,MATCH(A9,Model!$A$2:$A$17,0))</f>
        <v>314640276.18185711</v>
      </c>
      <c r="G9" s="31">
        <f t="shared" si="1"/>
        <v>1.9676063594389601E-2</v>
      </c>
      <c r="H9" s="31">
        <f>Inputs!$B$15</f>
        <v>0</v>
      </c>
      <c r="I9" s="36">
        <f t="shared" si="2"/>
        <v>0</v>
      </c>
      <c r="J9" s="31">
        <f t="shared" si="3"/>
        <v>8.5337926801527145E-2</v>
      </c>
      <c r="K9" s="3" t="s">
        <v>548</v>
      </c>
      <c r="L9" s="3" t="s">
        <v>549</v>
      </c>
    </row>
    <row r="10" spans="1:12" x14ac:dyDescent="0.2">
      <c r="A10" s="3"/>
      <c r="B10" s="36"/>
      <c r="C10" s="36"/>
      <c r="D10" s="36"/>
      <c r="E10" s="3"/>
      <c r="F10" s="3"/>
      <c r="G10" s="3"/>
      <c r="H10" s="3"/>
      <c r="I10" s="3"/>
      <c r="J10" s="3"/>
      <c r="K10" s="3"/>
      <c r="L10" s="3"/>
    </row>
    <row r="11" spans="1:12" ht="34" x14ac:dyDescent="0.2">
      <c r="A11" s="3" t="s">
        <v>550</v>
      </c>
      <c r="B11" s="36"/>
      <c r="C11" s="36">
        <f>'Alaska Base'!$C$29</f>
        <v>4264000000</v>
      </c>
      <c r="D11" s="36" t="s">
        <v>551</v>
      </c>
      <c r="E11" s="3"/>
      <c r="F11" s="3"/>
      <c r="G11" s="3"/>
      <c r="H11" s="3"/>
      <c r="I11" s="3"/>
      <c r="J11" s="3"/>
      <c r="K11" s="3" t="s">
        <v>552</v>
      </c>
      <c r="L11" s="3" t="s">
        <v>549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"/>
  <sheetViews>
    <sheetView workbookViewId="0">
      <selection sqref="A1:H1"/>
    </sheetView>
  </sheetViews>
  <sheetFormatPr baseColWidth="10" defaultColWidth="8.83203125" defaultRowHeight="16" x14ac:dyDescent="0.2"/>
  <cols>
    <col min="1" max="1" width="9" customWidth="1"/>
    <col min="2" max="2" width="17" customWidth="1"/>
    <col min="3" max="3" width="19" customWidth="1"/>
    <col min="4" max="4" width="23" customWidth="1"/>
    <col min="5" max="5" width="15" customWidth="1"/>
    <col min="6" max="6" width="20" customWidth="1"/>
    <col min="7" max="7" width="60" customWidth="1"/>
    <col min="8" max="8" width="34" customWidth="1"/>
  </cols>
  <sheetData>
    <row r="1" spans="1:8" ht="20" x14ac:dyDescent="0.25">
      <c r="A1" s="113" t="s">
        <v>553</v>
      </c>
      <c r="B1" s="113"/>
      <c r="C1" s="113"/>
      <c r="D1" s="113"/>
      <c r="E1" s="113"/>
      <c r="F1" s="113"/>
      <c r="G1" s="113"/>
      <c r="H1" s="11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ht="34" x14ac:dyDescent="0.2">
      <c r="A3" s="51" t="s">
        <v>8</v>
      </c>
      <c r="B3" s="51" t="s">
        <v>554</v>
      </c>
      <c r="C3" s="51" t="s">
        <v>555</v>
      </c>
      <c r="D3" s="51" t="s">
        <v>556</v>
      </c>
      <c r="E3" s="51" t="s">
        <v>557</v>
      </c>
      <c r="F3" s="51" t="s">
        <v>558</v>
      </c>
      <c r="G3" s="51" t="s">
        <v>525</v>
      </c>
      <c r="H3" s="3" t="s">
        <v>559</v>
      </c>
    </row>
    <row r="4" spans="1:8" ht="34" x14ac:dyDescent="0.2">
      <c r="A4" s="3">
        <v>2025</v>
      </c>
      <c r="B4" s="59">
        <f t="shared" ref="B4:B19" si="0">IF(A4=2025,1375,IF(A4&lt;=2026,1375*(1405.3/1375)^((A4-2025)/(2026-2025)),IF(A4&lt;=2031,1405.3*(1581/1405.3)^((A4-2026)/(2031-2026)),IF(A4&lt;=2036,1581*(1816.5/1581)^((A4-2031)/(2036-2031)),IF(A4&lt;=2041,1816.5*(2057.2/1816.5)^((A4-2036)/(2041-2036)),2057.2*(2315/2057.2)^((A4-2041)/(2046-2041)))))))</f>
        <v>1375</v>
      </c>
      <c r="C4" s="30">
        <f t="shared" ref="C4:C19" si="1">B4/$B$4</f>
        <v>1</v>
      </c>
      <c r="D4" s="53">
        <f t="shared" ref="D4:D19" si="2">IF(A4=2025,16.19,IF(A4&lt;=2026,16.19*(16.36/16.19)^((A4-2025)/(2026-2025)),IF(A4&lt;=2031,16.36*(17.98/16.36)^((A4-2026)/(2031-2026)),IF(A4&lt;=2036,17.98*(19.73/17.98)^((A4-2031)/(2036-2031)),IF(A4&lt;=2041,19.73*(21.27/19.73)^((A4-2036)/(2041-2036)),21.27*(22.97/21.27)^((A4-2041)/(2046-2041)))))))</f>
        <v>16.190000000000001</v>
      </c>
      <c r="E4" s="53">
        <f t="shared" ref="E4:E19" si="3">IF(A4=2025,3,IF(A4&lt;=2026,3*(3.08/3)^((A4-2025)/(2026-2025)),IF(A4&lt;=2031,3.08*(3.46/3.08)^((A4-2026)/(2031-2026)),IF(A4&lt;=2036,3.46*(3.9/3.46)^((A4-2031)/(2036-2031)),IF(A4&lt;=2041,3.9*(4.34/3.9)^((A4-2036)/(2041-2036)),4.34*(4.84/4.34)^((A4-2041)/(2046-2041)))))))</f>
        <v>3</v>
      </c>
      <c r="F4" s="30">
        <f t="shared" ref="F4:F19" si="4">(D4/E4)/($D$4/$E$4)</f>
        <v>1</v>
      </c>
      <c r="G4" s="3" t="s">
        <v>560</v>
      </c>
      <c r="H4" s="3" t="s">
        <v>561</v>
      </c>
    </row>
    <row r="5" spans="1:8" ht="34" x14ac:dyDescent="0.2">
      <c r="A5" s="3">
        <v>2026</v>
      </c>
      <c r="B5" s="59">
        <f t="shared" si="0"/>
        <v>1405.3</v>
      </c>
      <c r="C5" s="30">
        <f t="shared" si="1"/>
        <v>1.0220363636363636</v>
      </c>
      <c r="D5" s="53">
        <f t="shared" si="2"/>
        <v>16.36</v>
      </c>
      <c r="E5" s="53">
        <f t="shared" si="3"/>
        <v>3.08</v>
      </c>
      <c r="F5" s="30">
        <f t="shared" si="4"/>
        <v>0.98425354756423311</v>
      </c>
      <c r="G5" s="3" t="s">
        <v>560</v>
      </c>
      <c r="H5" s="3" t="s">
        <v>562</v>
      </c>
    </row>
    <row r="6" spans="1:8" ht="34" x14ac:dyDescent="0.2">
      <c r="A6" s="3">
        <v>2027</v>
      </c>
      <c r="B6" s="59">
        <f t="shared" si="0"/>
        <v>1438.803915420091</v>
      </c>
      <c r="C6" s="30">
        <f t="shared" si="1"/>
        <v>1.0464028475782481</v>
      </c>
      <c r="D6" s="53">
        <f t="shared" si="2"/>
        <v>16.67188004834945</v>
      </c>
      <c r="E6" s="53">
        <f t="shared" si="3"/>
        <v>3.1525050646383646</v>
      </c>
      <c r="F6" s="30">
        <f t="shared" si="4"/>
        <v>0.97994835892996501</v>
      </c>
      <c r="G6" s="3" t="s">
        <v>560</v>
      </c>
      <c r="H6" s="3" t="s">
        <v>563</v>
      </c>
    </row>
    <row r="7" spans="1:8" ht="34" x14ac:dyDescent="0.2">
      <c r="A7" s="3">
        <v>2028</v>
      </c>
      <c r="B7" s="59">
        <f t="shared" si="0"/>
        <v>1473.1066014574712</v>
      </c>
      <c r="C7" s="30">
        <f t="shared" si="1"/>
        <v>1.0713502556054337</v>
      </c>
      <c r="D7" s="53">
        <f t="shared" si="2"/>
        <v>16.989705644654794</v>
      </c>
      <c r="E7" s="53">
        <f t="shared" si="3"/>
        <v>3.2267169423930322</v>
      </c>
      <c r="F7" s="30">
        <f t="shared" si="4"/>
        <v>0.97566200146904891</v>
      </c>
      <c r="G7" s="3" t="s">
        <v>560</v>
      </c>
      <c r="H7" s="3" t="s">
        <v>564</v>
      </c>
    </row>
    <row r="8" spans="1:8" ht="34" x14ac:dyDescent="0.2">
      <c r="A8" s="3">
        <v>2029</v>
      </c>
      <c r="B8" s="59">
        <f t="shared" si="0"/>
        <v>1508.2271016923028</v>
      </c>
      <c r="C8" s="30">
        <f t="shared" si="1"/>
        <v>1.096892437594402</v>
      </c>
      <c r="D8" s="53">
        <f t="shared" si="2"/>
        <v>17.313590132301364</v>
      </c>
      <c r="E8" s="53">
        <f t="shared" si="3"/>
        <v>3.3026758126780686</v>
      </c>
      <c r="F8" s="30">
        <f t="shared" si="4"/>
        <v>0.97139439281271589</v>
      </c>
      <c r="G8" s="3" t="s">
        <v>560</v>
      </c>
      <c r="H8" s="3" t="s">
        <v>565</v>
      </c>
    </row>
    <row r="9" spans="1:8" ht="34" x14ac:dyDescent="0.2">
      <c r="A9" s="3">
        <v>2030</v>
      </c>
      <c r="B9" s="59">
        <f t="shared" si="0"/>
        <v>1544.1849137248851</v>
      </c>
      <c r="C9" s="30">
        <f t="shared" si="1"/>
        <v>1.1230435736180981</v>
      </c>
      <c r="D9" s="53">
        <f t="shared" si="2"/>
        <v>17.643649015404339</v>
      </c>
      <c r="E9" s="53">
        <f t="shared" si="3"/>
        <v>3.3804228007552721</v>
      </c>
      <c r="F9" s="30">
        <f t="shared" si="4"/>
        <v>0.96714545095248217</v>
      </c>
      <c r="G9" s="3" t="s">
        <v>560</v>
      </c>
      <c r="H9" s="3" t="s">
        <v>566</v>
      </c>
    </row>
    <row r="10" spans="1:8" ht="34" x14ac:dyDescent="0.2">
      <c r="A10" s="3">
        <v>2031</v>
      </c>
      <c r="B10" s="59">
        <f t="shared" si="0"/>
        <v>1581.0000000000002</v>
      </c>
      <c r="C10" s="30">
        <f t="shared" si="1"/>
        <v>1.1498181818181821</v>
      </c>
      <c r="D10" s="53">
        <f t="shared" si="2"/>
        <v>17.98</v>
      </c>
      <c r="E10" s="53">
        <f t="shared" si="3"/>
        <v>3.46</v>
      </c>
      <c r="F10" s="30">
        <f t="shared" si="4"/>
        <v>0.9629150942385758</v>
      </c>
      <c r="G10" s="3" t="s">
        <v>560</v>
      </c>
      <c r="H10" s="3"/>
    </row>
    <row r="11" spans="1:8" ht="34" x14ac:dyDescent="0.2">
      <c r="A11" s="3">
        <v>2032</v>
      </c>
      <c r="B11" s="59">
        <f t="shared" si="0"/>
        <v>1625.5209696637228</v>
      </c>
      <c r="C11" s="30">
        <f t="shared" si="1"/>
        <v>1.1821970688463439</v>
      </c>
      <c r="D11" s="53">
        <f t="shared" si="2"/>
        <v>18.317119003437213</v>
      </c>
      <c r="E11" s="53">
        <f t="shared" si="3"/>
        <v>3.5438375082773521</v>
      </c>
      <c r="F11" s="30">
        <f t="shared" si="4"/>
        <v>0.95776237587529667</v>
      </c>
      <c r="G11" s="3" t="s">
        <v>560</v>
      </c>
      <c r="H11" s="3"/>
    </row>
    <row r="12" spans="1:8" ht="34" x14ac:dyDescent="0.2">
      <c r="A12" s="3">
        <v>2033</v>
      </c>
      <c r="B12" s="59">
        <f t="shared" si="0"/>
        <v>1671.2956501053061</v>
      </c>
      <c r="C12" s="30">
        <f t="shared" si="1"/>
        <v>1.2154877455311317</v>
      </c>
      <c r="D12" s="53">
        <f t="shared" si="2"/>
        <v>18.660558875755321</v>
      </c>
      <c r="E12" s="53">
        <f t="shared" si="3"/>
        <v>3.6297064407726696</v>
      </c>
      <c r="F12" s="30">
        <f t="shared" si="4"/>
        <v>0.95263723056252814</v>
      </c>
      <c r="G12" s="3" t="s">
        <v>560</v>
      </c>
      <c r="H12" s="3"/>
    </row>
    <row r="13" spans="1:8" ht="34" x14ac:dyDescent="0.2">
      <c r="A13" s="3">
        <v>2034</v>
      </c>
      <c r="B13" s="59">
        <f t="shared" si="0"/>
        <v>1718.3593458279186</v>
      </c>
      <c r="C13" s="30">
        <f t="shared" si="1"/>
        <v>1.2497158878748498</v>
      </c>
      <c r="D13" s="53">
        <f t="shared" si="2"/>
        <v>19.010438131137754</v>
      </c>
      <c r="E13" s="53">
        <f t="shared" si="3"/>
        <v>3.7176560198977091</v>
      </c>
      <c r="F13" s="30">
        <f t="shared" si="4"/>
        <v>0.94753951075230525</v>
      </c>
      <c r="G13" s="3" t="s">
        <v>560</v>
      </c>
      <c r="H13" s="3"/>
    </row>
    <row r="14" spans="1:8" ht="34" x14ac:dyDescent="0.2">
      <c r="A14" s="3">
        <v>2035</v>
      </c>
      <c r="B14" s="59">
        <f t="shared" si="0"/>
        <v>1766.7483555097524</v>
      </c>
      <c r="C14" s="30">
        <f t="shared" si="1"/>
        <v>1.2849078949161836</v>
      </c>
      <c r="D14" s="53">
        <f t="shared" si="2"/>
        <v>19.366877505869343</v>
      </c>
      <c r="E14" s="53">
        <f t="shared" si="3"/>
        <v>3.8077366607475716</v>
      </c>
      <c r="F14" s="30">
        <f t="shared" si="4"/>
        <v>0.94246906968621436</v>
      </c>
      <c r="G14" s="3" t="s">
        <v>560</v>
      </c>
      <c r="H14" s="3"/>
    </row>
    <row r="15" spans="1:8" ht="34" x14ac:dyDescent="0.2">
      <c r="A15" s="3">
        <v>2036</v>
      </c>
      <c r="B15" s="59">
        <f t="shared" si="0"/>
        <v>1816.5</v>
      </c>
      <c r="C15" s="30">
        <f t="shared" si="1"/>
        <v>1.3210909090909091</v>
      </c>
      <c r="D15" s="53">
        <f t="shared" si="2"/>
        <v>19.730000000000004</v>
      </c>
      <c r="E15" s="53">
        <f t="shared" si="3"/>
        <v>3.9</v>
      </c>
      <c r="F15" s="30">
        <f t="shared" si="4"/>
        <v>0.93742576139117229</v>
      </c>
      <c r="G15" s="3" t="s">
        <v>560</v>
      </c>
      <c r="H15" s="3"/>
    </row>
    <row r="16" spans="1:8" ht="34" x14ac:dyDescent="0.2">
      <c r="A16" s="3">
        <v>2037</v>
      </c>
      <c r="B16" s="59">
        <f t="shared" si="0"/>
        <v>1862.2741927451686</v>
      </c>
      <c r="C16" s="30">
        <f t="shared" si="1"/>
        <v>1.3543812310873953</v>
      </c>
      <c r="D16" s="53">
        <f t="shared" si="2"/>
        <v>20.028810898109736</v>
      </c>
      <c r="E16" s="53">
        <f t="shared" si="3"/>
        <v>3.9842779829734867</v>
      </c>
      <c r="F16" s="30">
        <f t="shared" si="4"/>
        <v>0.93149374002261509</v>
      </c>
      <c r="G16" s="3" t="s">
        <v>560</v>
      </c>
      <c r="H16" s="3"/>
    </row>
    <row r="17" spans="1:8" ht="34" x14ac:dyDescent="0.2">
      <c r="A17" s="3">
        <v>2038</v>
      </c>
      <c r="B17" s="59">
        <f t="shared" si="0"/>
        <v>1909.2018546461159</v>
      </c>
      <c r="C17" s="30">
        <f t="shared" si="1"/>
        <v>1.3885104397426298</v>
      </c>
      <c r="D17" s="53">
        <f t="shared" si="2"/>
        <v>20.332147287999963</v>
      </c>
      <c r="E17" s="53">
        <f t="shared" si="3"/>
        <v>4.0703771911813522</v>
      </c>
      <c r="F17" s="30">
        <f t="shared" si="4"/>
        <v>0.92559925642927865</v>
      </c>
      <c r="G17" s="3" t="s">
        <v>560</v>
      </c>
      <c r="H17" s="3"/>
    </row>
    <row r="18" spans="1:8" ht="34" x14ac:dyDescent="0.2">
      <c r="A18" s="3">
        <v>2039</v>
      </c>
      <c r="B18" s="59">
        <f t="shared" si="0"/>
        <v>1957.3120521049677</v>
      </c>
      <c r="C18" s="30">
        <f t="shared" si="1"/>
        <v>1.4234996742581583</v>
      </c>
      <c r="D18" s="53">
        <f t="shared" si="2"/>
        <v>20.640077708254736</v>
      </c>
      <c r="E18" s="53">
        <f t="shared" si="3"/>
        <v>4.1583369808259807</v>
      </c>
      <c r="F18" s="30">
        <f t="shared" si="4"/>
        <v>0.91974207307247557</v>
      </c>
      <c r="G18" s="3" t="s">
        <v>560</v>
      </c>
      <c r="H18" s="3"/>
    </row>
    <row r="19" spans="1:8" ht="34" x14ac:dyDescent="0.2">
      <c r="A19" s="3">
        <v>2040</v>
      </c>
      <c r="B19" s="59">
        <f t="shared" si="0"/>
        <v>2006.6345839714661</v>
      </c>
      <c r="C19" s="30">
        <f t="shared" si="1"/>
        <v>1.4593706065247025</v>
      </c>
      <c r="D19" s="53">
        <f t="shared" si="2"/>
        <v>20.952671735475128</v>
      </c>
      <c r="E19" s="53">
        <f t="shared" si="3"/>
        <v>4.248197558587024</v>
      </c>
      <c r="F19" s="30">
        <f t="shared" si="4"/>
        <v>0.91392195391666131</v>
      </c>
      <c r="G19" s="3" t="s">
        <v>560</v>
      </c>
      <c r="H19" s="3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3"/>
  <sheetViews>
    <sheetView workbookViewId="0">
      <selection sqref="A1:H1"/>
    </sheetView>
  </sheetViews>
  <sheetFormatPr baseColWidth="10" defaultColWidth="8.83203125" defaultRowHeight="16" x14ac:dyDescent="0.2"/>
  <cols>
    <col min="1" max="1" width="36" customWidth="1"/>
    <col min="2" max="3" width="18" customWidth="1"/>
    <col min="4" max="4" width="22" customWidth="1"/>
    <col min="5" max="5" width="18" customWidth="1"/>
    <col min="6" max="6" width="56" customWidth="1"/>
    <col min="7" max="7" width="22" customWidth="1"/>
    <col min="8" max="8" width="60" customWidth="1"/>
    <col min="10" max="10" width="20" customWidth="1"/>
    <col min="11" max="12" width="16" customWidth="1"/>
    <col min="13" max="13" width="21" customWidth="1"/>
  </cols>
  <sheetData>
    <row r="1" spans="1:13" ht="20" x14ac:dyDescent="0.25">
      <c r="A1" s="105" t="s">
        <v>567</v>
      </c>
      <c r="B1" s="105"/>
      <c r="C1" s="105"/>
      <c r="D1" s="105"/>
      <c r="E1" s="105"/>
      <c r="F1" s="105"/>
      <c r="G1" s="105"/>
      <c r="H1" s="105"/>
      <c r="I1" s="76"/>
      <c r="J1" s="76"/>
      <c r="K1" s="76"/>
      <c r="L1" s="76"/>
      <c r="M1" s="76"/>
    </row>
    <row r="2" spans="1:13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4" x14ac:dyDescent="0.2">
      <c r="A3" s="68" t="s">
        <v>568</v>
      </c>
      <c r="B3" s="68" t="s">
        <v>569</v>
      </c>
      <c r="C3" s="68" t="s">
        <v>36</v>
      </c>
      <c r="D3" s="68" t="s">
        <v>570</v>
      </c>
      <c r="E3" s="68" t="s">
        <v>571</v>
      </c>
      <c r="F3" s="68" t="s">
        <v>572</v>
      </c>
      <c r="G3" s="68" t="s">
        <v>573</v>
      </c>
      <c r="H3" s="68" t="s">
        <v>526</v>
      </c>
      <c r="I3" s="3"/>
      <c r="J3" s="68" t="s">
        <v>574</v>
      </c>
      <c r="K3" s="68" t="s">
        <v>575</v>
      </c>
      <c r="L3" s="68" t="s">
        <v>576</v>
      </c>
      <c r="M3" s="68" t="s">
        <v>577</v>
      </c>
    </row>
    <row r="4" spans="1:13" ht="34" x14ac:dyDescent="0.2">
      <c r="A4" s="3" t="s">
        <v>578</v>
      </c>
      <c r="B4" s="29">
        <v>3.5</v>
      </c>
      <c r="C4" s="3" t="s">
        <v>579</v>
      </c>
      <c r="D4" s="26">
        <v>202000000</v>
      </c>
      <c r="E4" s="3" t="s">
        <v>580</v>
      </c>
      <c r="F4" s="3" t="s">
        <v>581</v>
      </c>
      <c r="G4" s="3" t="s">
        <v>582</v>
      </c>
      <c r="H4" s="3" t="s">
        <v>583</v>
      </c>
      <c r="I4" s="3"/>
      <c r="J4" s="79">
        <v>0</v>
      </c>
      <c r="K4" s="29">
        <f>Inputs!$B$32</f>
        <v>59</v>
      </c>
      <c r="L4" s="29">
        <f>Inputs!$B$33</f>
        <v>200</v>
      </c>
      <c r="M4" s="29">
        <f t="shared" ref="M4:M9" si="0">J4*K4+(1-J4)*L4</f>
        <v>200</v>
      </c>
    </row>
    <row r="5" spans="1:13" ht="34" x14ac:dyDescent="0.2">
      <c r="A5" s="3" t="s">
        <v>584</v>
      </c>
      <c r="B5" s="29">
        <v>6.8</v>
      </c>
      <c r="C5" s="3" t="s">
        <v>579</v>
      </c>
      <c r="D5" s="26"/>
      <c r="E5" s="3" t="s">
        <v>585</v>
      </c>
      <c r="F5" s="3" t="s">
        <v>586</v>
      </c>
      <c r="G5" s="3" t="s">
        <v>582</v>
      </c>
      <c r="H5" s="3" t="s">
        <v>583</v>
      </c>
      <c r="I5" s="3"/>
      <c r="J5" s="79">
        <v>0.1</v>
      </c>
      <c r="K5" s="29">
        <f>Inputs!$B$32</f>
        <v>59</v>
      </c>
      <c r="L5" s="29">
        <f>Inputs!$B$33</f>
        <v>200</v>
      </c>
      <c r="M5" s="29">
        <f t="shared" si="0"/>
        <v>185.9</v>
      </c>
    </row>
    <row r="6" spans="1:13" ht="34" x14ac:dyDescent="0.2">
      <c r="A6" s="3" t="s">
        <v>587</v>
      </c>
      <c r="B6" s="29">
        <v>59</v>
      </c>
      <c r="C6" s="3" t="s">
        <v>588</v>
      </c>
      <c r="D6" s="26"/>
      <c r="E6" s="3" t="s">
        <v>589</v>
      </c>
      <c r="F6" s="3" t="s">
        <v>590</v>
      </c>
      <c r="G6" s="3" t="s">
        <v>582</v>
      </c>
      <c r="H6" s="3" t="s">
        <v>362</v>
      </c>
      <c r="I6" s="3"/>
      <c r="J6" s="79">
        <v>0.2</v>
      </c>
      <c r="K6" s="29">
        <f>Inputs!$B$32</f>
        <v>59</v>
      </c>
      <c r="L6" s="29">
        <f>Inputs!$B$33</f>
        <v>200</v>
      </c>
      <c r="M6" s="29">
        <f t="shared" si="0"/>
        <v>171.8</v>
      </c>
    </row>
    <row r="7" spans="1:13" ht="34" x14ac:dyDescent="0.2">
      <c r="A7" s="3" t="s">
        <v>591</v>
      </c>
      <c r="B7" s="29">
        <v>200</v>
      </c>
      <c r="C7" s="3" t="s">
        <v>579</v>
      </c>
      <c r="D7" s="26"/>
      <c r="E7" s="3" t="s">
        <v>592</v>
      </c>
      <c r="F7" s="3" t="s">
        <v>593</v>
      </c>
      <c r="G7" s="3" t="s">
        <v>594</v>
      </c>
      <c r="H7" s="3" t="s">
        <v>364</v>
      </c>
      <c r="I7" s="3"/>
      <c r="J7" s="79">
        <v>0.25</v>
      </c>
      <c r="K7" s="29">
        <f>Inputs!$B$32</f>
        <v>59</v>
      </c>
      <c r="L7" s="29">
        <f>Inputs!$B$33</f>
        <v>200</v>
      </c>
      <c r="M7" s="29">
        <f t="shared" si="0"/>
        <v>164.75</v>
      </c>
    </row>
    <row r="8" spans="1:13" ht="34" x14ac:dyDescent="0.2">
      <c r="A8" s="3" t="s">
        <v>595</v>
      </c>
      <c r="B8" s="54">
        <v>150.4</v>
      </c>
      <c r="C8" s="3" t="s">
        <v>596</v>
      </c>
      <c r="D8" s="26">
        <v>1875765</v>
      </c>
      <c r="E8" s="3" t="s">
        <v>597</v>
      </c>
      <c r="F8" s="3" t="s">
        <v>598</v>
      </c>
      <c r="G8" s="3" t="s">
        <v>582</v>
      </c>
      <c r="H8" s="3" t="s">
        <v>364</v>
      </c>
      <c r="I8" s="3"/>
      <c r="J8" s="79">
        <v>0.3</v>
      </c>
      <c r="K8" s="29">
        <f>Inputs!$B$32</f>
        <v>59</v>
      </c>
      <c r="L8" s="29">
        <f>Inputs!$B$33</f>
        <v>200</v>
      </c>
      <c r="M8" s="29">
        <f t="shared" si="0"/>
        <v>157.69999999999999</v>
      </c>
    </row>
    <row r="9" spans="1:13" ht="17" x14ac:dyDescent="0.2">
      <c r="A9" s="3" t="s">
        <v>599</v>
      </c>
      <c r="B9" s="29">
        <f>Inputs!B14</f>
        <v>200</v>
      </c>
      <c r="C9" s="3" t="s">
        <v>579</v>
      </c>
      <c r="D9" s="26"/>
      <c r="E9" s="3" t="s">
        <v>600</v>
      </c>
      <c r="F9" s="3" t="s">
        <v>601</v>
      </c>
      <c r="G9" s="3" t="s">
        <v>602</v>
      </c>
      <c r="H9" s="3" t="s">
        <v>603</v>
      </c>
      <c r="I9" s="3"/>
      <c r="J9" s="79">
        <v>0.5</v>
      </c>
      <c r="K9" s="29">
        <f>Inputs!$B$32</f>
        <v>59</v>
      </c>
      <c r="L9" s="29">
        <f>Inputs!$B$33</f>
        <v>200</v>
      </c>
      <c r="M9" s="29">
        <f t="shared" si="0"/>
        <v>129.5</v>
      </c>
    </row>
    <row r="10" spans="1:13" x14ac:dyDescent="0.2">
      <c r="A10" s="3"/>
      <c r="B10" s="3"/>
      <c r="C10" s="3"/>
      <c r="D10" s="26"/>
      <c r="E10" s="3"/>
      <c r="F10" s="3"/>
      <c r="G10" s="3"/>
      <c r="H10" s="3"/>
      <c r="I10" s="3"/>
      <c r="J10" s="3"/>
      <c r="K10" s="3"/>
      <c r="L10" s="3"/>
      <c r="M10" s="3"/>
    </row>
    <row r="11" spans="1:13" ht="17" x14ac:dyDescent="0.2">
      <c r="A11" s="3"/>
      <c r="B11" s="3"/>
      <c r="C11" s="3"/>
      <c r="D11" s="3"/>
      <c r="E11" s="3"/>
      <c r="F11" s="3"/>
      <c r="G11" s="3"/>
      <c r="H11" s="3"/>
      <c r="I11" s="3"/>
      <c r="J11" s="3" t="s">
        <v>604</v>
      </c>
      <c r="K11" s="3"/>
      <c r="L11" s="3"/>
      <c r="M11" s="3"/>
    </row>
    <row r="12" spans="1:13" ht="34" x14ac:dyDescent="0.2">
      <c r="A12" s="3"/>
      <c r="B12" s="3"/>
      <c r="C12" s="3"/>
      <c r="D12" s="3"/>
      <c r="E12" s="3"/>
      <c r="F12" s="3"/>
      <c r="G12" s="3"/>
      <c r="H12" s="3"/>
      <c r="I12" s="3"/>
      <c r="J12" s="3" t="s">
        <v>605</v>
      </c>
      <c r="K12" s="3"/>
      <c r="L12" s="3"/>
      <c r="M12" s="3" t="s">
        <v>606</v>
      </c>
    </row>
    <row r="13" spans="1:13" ht="119" x14ac:dyDescent="0.2">
      <c r="A13" s="3"/>
      <c r="B13" s="3"/>
      <c r="C13" s="3"/>
      <c r="D13" s="3"/>
      <c r="E13" s="3"/>
      <c r="F13" s="3"/>
      <c r="G13" s="3"/>
      <c r="H13" s="3"/>
      <c r="I13" s="3"/>
      <c r="J13" s="3" t="s">
        <v>607</v>
      </c>
      <c r="K13" s="3"/>
      <c r="L13" s="3"/>
      <c r="M13" s="3" t="s">
        <v>608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4"/>
  <sheetViews>
    <sheetView workbookViewId="0">
      <selection sqref="A1:G1"/>
    </sheetView>
  </sheetViews>
  <sheetFormatPr baseColWidth="10" defaultColWidth="8.83203125" defaultRowHeight="16" x14ac:dyDescent="0.2"/>
  <cols>
    <col min="1" max="1" width="21" customWidth="1"/>
    <col min="2" max="2" width="32" customWidth="1"/>
    <col min="3" max="3" width="31" customWidth="1"/>
    <col min="4" max="4" width="27" customWidth="1"/>
    <col min="5" max="5" width="30" customWidth="1"/>
    <col min="6" max="6" width="20" customWidth="1"/>
    <col min="7" max="7" width="48" customWidth="1"/>
  </cols>
  <sheetData>
    <row r="1" spans="1:7" ht="20" x14ac:dyDescent="0.25">
      <c r="A1" s="105" t="s">
        <v>609</v>
      </c>
      <c r="B1" s="105"/>
      <c r="C1" s="105"/>
      <c r="D1" s="105"/>
      <c r="E1" s="105"/>
      <c r="F1" s="105"/>
      <c r="G1" s="105"/>
    </row>
    <row r="2" spans="1:7" x14ac:dyDescent="0.2">
      <c r="A2" s="3"/>
      <c r="B2" s="3"/>
      <c r="C2" s="3"/>
      <c r="D2" s="3"/>
      <c r="E2" s="3"/>
      <c r="F2" s="3"/>
      <c r="G2" s="3"/>
    </row>
    <row r="3" spans="1:7" ht="17" x14ac:dyDescent="0.2">
      <c r="A3" s="68" t="s">
        <v>610</v>
      </c>
      <c r="B3" s="68" t="s">
        <v>34</v>
      </c>
      <c r="C3" s="68" t="s">
        <v>611</v>
      </c>
      <c r="D3" s="68" t="s">
        <v>612</v>
      </c>
      <c r="E3" s="68" t="s">
        <v>613</v>
      </c>
      <c r="F3" s="68" t="s">
        <v>614</v>
      </c>
      <c r="G3" s="68" t="s">
        <v>615</v>
      </c>
    </row>
    <row r="4" spans="1:7" ht="17" x14ac:dyDescent="0.2">
      <c r="A4" s="3" t="s">
        <v>616</v>
      </c>
      <c r="B4" s="3" t="s">
        <v>617</v>
      </c>
      <c r="C4" s="3" t="s">
        <v>618</v>
      </c>
      <c r="D4" s="3" t="s">
        <v>619</v>
      </c>
      <c r="E4" s="3" t="s">
        <v>620</v>
      </c>
      <c r="F4" s="3" t="s">
        <v>621</v>
      </c>
      <c r="G4" s="3" t="s">
        <v>622</v>
      </c>
    </row>
    <row r="5" spans="1:7" ht="17" x14ac:dyDescent="0.2">
      <c r="A5" s="3" t="s">
        <v>616</v>
      </c>
      <c r="B5" s="3" t="s">
        <v>623</v>
      </c>
      <c r="C5" s="3" t="s">
        <v>618</v>
      </c>
      <c r="D5" s="3" t="s">
        <v>619</v>
      </c>
      <c r="E5" s="3" t="s">
        <v>602</v>
      </c>
      <c r="F5" s="3" t="s">
        <v>621</v>
      </c>
      <c r="G5" s="3" t="s">
        <v>624</v>
      </c>
    </row>
    <row r="6" spans="1:7" ht="17" x14ac:dyDescent="0.2">
      <c r="A6" s="3" t="s">
        <v>616</v>
      </c>
      <c r="B6" s="3" t="s">
        <v>625</v>
      </c>
      <c r="C6" s="3" t="s">
        <v>626</v>
      </c>
      <c r="D6" s="3" t="s">
        <v>627</v>
      </c>
      <c r="E6" s="3" t="s">
        <v>628</v>
      </c>
      <c r="F6" s="3" t="s">
        <v>621</v>
      </c>
      <c r="G6" s="3" t="s">
        <v>629</v>
      </c>
    </row>
    <row r="7" spans="1:7" ht="17" x14ac:dyDescent="0.2">
      <c r="A7" s="3" t="s">
        <v>616</v>
      </c>
      <c r="B7" s="3" t="s">
        <v>630</v>
      </c>
      <c r="C7" s="3" t="s">
        <v>618</v>
      </c>
      <c r="D7" s="3" t="s">
        <v>619</v>
      </c>
      <c r="E7" s="3" t="s">
        <v>631</v>
      </c>
      <c r="F7" s="3" t="s">
        <v>621</v>
      </c>
      <c r="G7" s="3" t="s">
        <v>632</v>
      </c>
    </row>
    <row r="8" spans="1:7" ht="17" x14ac:dyDescent="0.2">
      <c r="A8" s="3" t="s">
        <v>633</v>
      </c>
      <c r="B8" s="3" t="s">
        <v>634</v>
      </c>
      <c r="C8" s="3" t="s">
        <v>635</v>
      </c>
      <c r="D8" s="3" t="s">
        <v>636</v>
      </c>
      <c r="E8" s="3" t="s">
        <v>602</v>
      </c>
      <c r="F8" s="3" t="s">
        <v>637</v>
      </c>
      <c r="G8" s="3" t="s">
        <v>638</v>
      </c>
    </row>
    <row r="9" spans="1:7" ht="34" x14ac:dyDescent="0.2">
      <c r="A9" s="3" t="s">
        <v>633</v>
      </c>
      <c r="B9" s="3" t="s">
        <v>639</v>
      </c>
      <c r="C9" s="3" t="s">
        <v>635</v>
      </c>
      <c r="D9" s="3" t="s">
        <v>636</v>
      </c>
      <c r="E9" s="3" t="s">
        <v>602</v>
      </c>
      <c r="F9" s="3" t="s">
        <v>637</v>
      </c>
      <c r="G9" s="3" t="s">
        <v>640</v>
      </c>
    </row>
    <row r="10" spans="1:7" ht="34" x14ac:dyDescent="0.2">
      <c r="A10" s="3" t="s">
        <v>641</v>
      </c>
      <c r="B10" s="3" t="s">
        <v>642</v>
      </c>
      <c r="C10" s="3" t="s">
        <v>643</v>
      </c>
      <c r="D10" s="3" t="s">
        <v>644</v>
      </c>
      <c r="E10" s="3" t="s">
        <v>602</v>
      </c>
      <c r="F10" s="3" t="s">
        <v>645</v>
      </c>
      <c r="G10" s="3" t="s">
        <v>646</v>
      </c>
    </row>
    <row r="11" spans="1:7" ht="17" x14ac:dyDescent="0.2">
      <c r="A11" s="3" t="s">
        <v>647</v>
      </c>
      <c r="B11" s="3" t="s">
        <v>648</v>
      </c>
      <c r="C11" s="3" t="s">
        <v>643</v>
      </c>
      <c r="D11" s="3" t="s">
        <v>644</v>
      </c>
      <c r="E11" s="3" t="s">
        <v>631</v>
      </c>
      <c r="F11" s="3" t="s">
        <v>637</v>
      </c>
      <c r="G11" s="3" t="s">
        <v>649</v>
      </c>
    </row>
    <row r="12" spans="1:7" ht="17" x14ac:dyDescent="0.2">
      <c r="A12" s="3" t="s">
        <v>650</v>
      </c>
      <c r="B12" s="3" t="s">
        <v>651</v>
      </c>
      <c r="C12" s="3" t="s">
        <v>353</v>
      </c>
      <c r="D12" s="3" t="s">
        <v>644</v>
      </c>
      <c r="E12" s="3" t="s">
        <v>602</v>
      </c>
      <c r="F12" s="3" t="s">
        <v>637</v>
      </c>
      <c r="G12" s="3" t="s">
        <v>652</v>
      </c>
    </row>
    <row r="13" spans="1:7" ht="34" x14ac:dyDescent="0.2">
      <c r="A13" s="3" t="s">
        <v>653</v>
      </c>
      <c r="B13" s="3" t="s">
        <v>654</v>
      </c>
      <c r="C13" s="3" t="s">
        <v>655</v>
      </c>
      <c r="D13" s="3" t="s">
        <v>656</v>
      </c>
      <c r="E13" s="3" t="s">
        <v>602</v>
      </c>
      <c r="F13" s="3" t="s">
        <v>637</v>
      </c>
      <c r="G13" s="3" t="s">
        <v>657</v>
      </c>
    </row>
    <row r="14" spans="1:7" ht="17" x14ac:dyDescent="0.2">
      <c r="A14" s="3" t="s">
        <v>658</v>
      </c>
      <c r="B14" s="3" t="s">
        <v>659</v>
      </c>
      <c r="C14" s="3" t="s">
        <v>660</v>
      </c>
      <c r="D14" s="3" t="s">
        <v>661</v>
      </c>
      <c r="E14" s="3" t="s">
        <v>602</v>
      </c>
      <c r="F14" s="3" t="s">
        <v>621</v>
      </c>
      <c r="G14" s="3" t="s">
        <v>662</v>
      </c>
    </row>
    <row r="15" spans="1:7" ht="17" x14ac:dyDescent="0.2">
      <c r="A15" s="3" t="s">
        <v>663</v>
      </c>
      <c r="B15" s="3" t="s">
        <v>664</v>
      </c>
      <c r="C15" s="3" t="s">
        <v>665</v>
      </c>
      <c r="D15" s="3" t="s">
        <v>666</v>
      </c>
      <c r="E15" s="3" t="s">
        <v>602</v>
      </c>
      <c r="F15" s="3" t="s">
        <v>667</v>
      </c>
      <c r="G15" s="3" t="s">
        <v>668</v>
      </c>
    </row>
    <row r="16" spans="1:7" ht="34" x14ac:dyDescent="0.2">
      <c r="A16" s="3" t="s">
        <v>663</v>
      </c>
      <c r="B16" s="3" t="s">
        <v>669</v>
      </c>
      <c r="C16" s="3" t="s">
        <v>670</v>
      </c>
      <c r="D16" s="3" t="s">
        <v>671</v>
      </c>
      <c r="E16" s="3" t="s">
        <v>672</v>
      </c>
      <c r="F16" s="3" t="s">
        <v>673</v>
      </c>
      <c r="G16" s="3" t="s">
        <v>674</v>
      </c>
    </row>
    <row r="17" spans="1:7" ht="17" x14ac:dyDescent="0.2">
      <c r="A17" s="3" t="s">
        <v>663</v>
      </c>
      <c r="B17" s="3" t="s">
        <v>675</v>
      </c>
      <c r="C17" s="3" t="s">
        <v>676</v>
      </c>
      <c r="D17" s="3" t="s">
        <v>666</v>
      </c>
      <c r="E17" s="3" t="s">
        <v>677</v>
      </c>
      <c r="F17" s="3" t="s">
        <v>678</v>
      </c>
      <c r="G17" s="3" t="s">
        <v>679</v>
      </c>
    </row>
    <row r="18" spans="1:7" ht="17" x14ac:dyDescent="0.2">
      <c r="A18" s="3" t="s">
        <v>663</v>
      </c>
      <c r="B18" s="3" t="s">
        <v>680</v>
      </c>
      <c r="C18" s="3" t="s">
        <v>681</v>
      </c>
      <c r="D18" s="3" t="s">
        <v>600</v>
      </c>
      <c r="E18" s="3" t="s">
        <v>602</v>
      </c>
      <c r="F18" s="3" t="s">
        <v>682</v>
      </c>
      <c r="G18" s="3" t="s">
        <v>683</v>
      </c>
    </row>
    <row r="19" spans="1:7" ht="17" x14ac:dyDescent="0.2">
      <c r="A19" s="3" t="s">
        <v>684</v>
      </c>
      <c r="B19" s="3" t="s">
        <v>685</v>
      </c>
      <c r="C19" s="3" t="s">
        <v>686</v>
      </c>
      <c r="D19" s="3" t="s">
        <v>600</v>
      </c>
      <c r="E19" s="3" t="s">
        <v>602</v>
      </c>
      <c r="F19" s="3" t="s">
        <v>687</v>
      </c>
      <c r="G19" s="3" t="s">
        <v>688</v>
      </c>
    </row>
    <row r="20" spans="1:7" ht="17" x14ac:dyDescent="0.2">
      <c r="A20" s="3" t="s">
        <v>689</v>
      </c>
      <c r="B20" s="3" t="s">
        <v>690</v>
      </c>
      <c r="C20" s="3" t="s">
        <v>691</v>
      </c>
      <c r="D20" s="3" t="s">
        <v>681</v>
      </c>
      <c r="E20" s="3" t="s">
        <v>602</v>
      </c>
      <c r="F20" s="3" t="s">
        <v>600</v>
      </c>
      <c r="G20" s="3" t="s">
        <v>692</v>
      </c>
    </row>
    <row r="21" spans="1:7" ht="17" x14ac:dyDescent="0.2">
      <c r="A21" s="3" t="s">
        <v>693</v>
      </c>
      <c r="B21" s="3" t="s">
        <v>694</v>
      </c>
      <c r="C21" s="3" t="s">
        <v>695</v>
      </c>
      <c r="D21" s="3" t="s">
        <v>600</v>
      </c>
      <c r="E21" s="3" t="s">
        <v>602</v>
      </c>
      <c r="F21" s="3" t="s">
        <v>600</v>
      </c>
      <c r="G21" s="3" t="s">
        <v>696</v>
      </c>
    </row>
    <row r="22" spans="1:7" ht="17" x14ac:dyDescent="0.2">
      <c r="A22" s="3" t="s">
        <v>697</v>
      </c>
      <c r="B22" s="3" t="s">
        <v>698</v>
      </c>
      <c r="C22" s="3" t="s">
        <v>699</v>
      </c>
      <c r="D22" s="3" t="s">
        <v>700</v>
      </c>
      <c r="E22" s="3" t="s">
        <v>631</v>
      </c>
      <c r="F22" s="3" t="s">
        <v>701</v>
      </c>
      <c r="G22" s="3" t="s">
        <v>702</v>
      </c>
    </row>
    <row r="23" spans="1:7" x14ac:dyDescent="0.2">
      <c r="A23" s="3"/>
      <c r="B23" s="3"/>
      <c r="C23" s="3"/>
      <c r="D23" s="3"/>
      <c r="E23" s="3"/>
      <c r="F23" s="3"/>
      <c r="G23" s="3"/>
    </row>
    <row r="24" spans="1:7" x14ac:dyDescent="0.2">
      <c r="A24" s="3"/>
      <c r="B24" s="3"/>
      <c r="C24" s="3"/>
      <c r="D24" s="3"/>
      <c r="E24" s="3"/>
      <c r="F24" s="3"/>
      <c r="G24" s="3"/>
    </row>
  </sheetData>
  <mergeCells count="1"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3"/>
  <sheetViews>
    <sheetView workbookViewId="0">
      <selection sqref="A1:G1"/>
    </sheetView>
  </sheetViews>
  <sheetFormatPr baseColWidth="10" defaultColWidth="8.83203125" defaultRowHeight="16" x14ac:dyDescent="0.2"/>
  <cols>
    <col min="1" max="1" width="30" customWidth="1"/>
    <col min="2" max="2" width="28" customWidth="1"/>
    <col min="3" max="3" width="46" customWidth="1"/>
    <col min="4" max="4" width="48" customWidth="1"/>
    <col min="5" max="5" width="35" customWidth="1"/>
    <col min="6" max="6" width="13" customWidth="1"/>
    <col min="7" max="7" width="50" customWidth="1"/>
  </cols>
  <sheetData>
    <row r="1" spans="1:7" ht="20" x14ac:dyDescent="0.25">
      <c r="A1" s="105" t="s">
        <v>703</v>
      </c>
      <c r="B1" s="105"/>
      <c r="C1" s="105"/>
      <c r="D1" s="105"/>
      <c r="E1" s="105"/>
      <c r="F1" s="105"/>
      <c r="G1" s="105"/>
    </row>
    <row r="2" spans="1:7" x14ac:dyDescent="0.2">
      <c r="A2" s="3"/>
      <c r="B2" s="3"/>
      <c r="C2" s="3"/>
      <c r="D2" s="3"/>
      <c r="E2" s="3"/>
      <c r="F2" s="3"/>
      <c r="G2" s="3"/>
    </row>
    <row r="3" spans="1:7" ht="17" x14ac:dyDescent="0.2">
      <c r="A3" s="68" t="s">
        <v>604</v>
      </c>
      <c r="B3" s="68" t="s">
        <v>704</v>
      </c>
      <c r="C3" s="68" t="s">
        <v>607</v>
      </c>
      <c r="D3" s="68" t="s">
        <v>705</v>
      </c>
      <c r="E3" s="68" t="s">
        <v>706</v>
      </c>
      <c r="F3" s="68" t="s">
        <v>573</v>
      </c>
      <c r="G3" s="68" t="s">
        <v>707</v>
      </c>
    </row>
    <row r="4" spans="1:7" ht="34" x14ac:dyDescent="0.2">
      <c r="A4" s="3" t="s">
        <v>708</v>
      </c>
      <c r="B4" s="3" t="s">
        <v>709</v>
      </c>
      <c r="C4" s="3" t="s">
        <v>710</v>
      </c>
      <c r="D4" s="3" t="s">
        <v>711</v>
      </c>
      <c r="E4" s="3" t="s">
        <v>712</v>
      </c>
      <c r="F4" s="3" t="s">
        <v>602</v>
      </c>
      <c r="G4" s="3" t="s">
        <v>713</v>
      </c>
    </row>
    <row r="5" spans="1:7" ht="34" x14ac:dyDescent="0.2">
      <c r="A5" s="3" t="s">
        <v>714</v>
      </c>
      <c r="B5" s="3" t="s">
        <v>715</v>
      </c>
      <c r="C5" s="3" t="s">
        <v>716</v>
      </c>
      <c r="D5" s="3" t="s">
        <v>717</v>
      </c>
      <c r="E5" s="3" t="s">
        <v>718</v>
      </c>
      <c r="F5" s="3" t="s">
        <v>602</v>
      </c>
      <c r="G5" s="3" t="s">
        <v>719</v>
      </c>
    </row>
    <row r="6" spans="1:7" ht="34" x14ac:dyDescent="0.2">
      <c r="A6" s="3" t="s">
        <v>720</v>
      </c>
      <c r="B6" s="3" t="s">
        <v>721</v>
      </c>
      <c r="C6" s="3" t="s">
        <v>722</v>
      </c>
      <c r="D6" s="3" t="s">
        <v>723</v>
      </c>
      <c r="E6" s="3" t="s">
        <v>724</v>
      </c>
      <c r="F6" s="3" t="s">
        <v>602</v>
      </c>
      <c r="G6" s="3" t="s">
        <v>725</v>
      </c>
    </row>
    <row r="7" spans="1:7" ht="34" x14ac:dyDescent="0.2">
      <c r="A7" s="3" t="s">
        <v>726</v>
      </c>
      <c r="B7" s="3" t="s">
        <v>727</v>
      </c>
      <c r="C7" s="3" t="s">
        <v>728</v>
      </c>
      <c r="D7" s="3" t="s">
        <v>729</v>
      </c>
      <c r="E7" s="3" t="s">
        <v>730</v>
      </c>
      <c r="F7" s="3" t="s">
        <v>602</v>
      </c>
      <c r="G7" s="3" t="s">
        <v>731</v>
      </c>
    </row>
    <row r="8" spans="1:7" ht="34" x14ac:dyDescent="0.2">
      <c r="A8" s="3" t="s">
        <v>293</v>
      </c>
      <c r="B8" s="3" t="s">
        <v>294</v>
      </c>
      <c r="C8" s="3" t="s">
        <v>732</v>
      </c>
      <c r="D8" s="3" t="s">
        <v>733</v>
      </c>
      <c r="E8" s="3" t="s">
        <v>734</v>
      </c>
      <c r="F8" s="3" t="s">
        <v>602</v>
      </c>
      <c r="G8" s="3" t="s">
        <v>735</v>
      </c>
    </row>
    <row r="9" spans="1:7" ht="34" x14ac:dyDescent="0.2">
      <c r="A9" s="3" t="s">
        <v>736</v>
      </c>
      <c r="B9" s="3" t="s">
        <v>694</v>
      </c>
      <c r="C9" s="3" t="s">
        <v>737</v>
      </c>
      <c r="D9" s="3" t="s">
        <v>738</v>
      </c>
      <c r="E9" s="3" t="s">
        <v>739</v>
      </c>
      <c r="F9" s="3" t="s">
        <v>602</v>
      </c>
      <c r="G9" s="3" t="s">
        <v>740</v>
      </c>
    </row>
    <row r="10" spans="1:7" ht="34" x14ac:dyDescent="0.2">
      <c r="A10" s="3" t="s">
        <v>741</v>
      </c>
      <c r="B10" s="3" t="s">
        <v>742</v>
      </c>
      <c r="C10" s="3" t="s">
        <v>743</v>
      </c>
      <c r="D10" s="3" t="s">
        <v>744</v>
      </c>
      <c r="E10" s="3" t="s">
        <v>745</v>
      </c>
      <c r="F10" s="3" t="s">
        <v>602</v>
      </c>
      <c r="G10" s="3" t="s">
        <v>746</v>
      </c>
    </row>
    <row r="11" spans="1:7" ht="34" x14ac:dyDescent="0.2">
      <c r="A11" s="3" t="s">
        <v>663</v>
      </c>
      <c r="B11" s="3" t="s">
        <v>747</v>
      </c>
      <c r="C11" s="3" t="s">
        <v>748</v>
      </c>
      <c r="D11" s="3" t="s">
        <v>749</v>
      </c>
      <c r="E11" s="3" t="s">
        <v>750</v>
      </c>
      <c r="F11" s="3" t="s">
        <v>602</v>
      </c>
      <c r="G11" s="3" t="s">
        <v>751</v>
      </c>
    </row>
    <row r="12" spans="1:7" ht="34" x14ac:dyDescent="0.2">
      <c r="A12" s="3" t="s">
        <v>752</v>
      </c>
      <c r="B12" s="3" t="s">
        <v>753</v>
      </c>
      <c r="C12" s="3" t="s">
        <v>754</v>
      </c>
      <c r="D12" s="3" t="s">
        <v>755</v>
      </c>
      <c r="E12" s="3" t="s">
        <v>756</v>
      </c>
      <c r="F12" s="3" t="s">
        <v>602</v>
      </c>
      <c r="G12" s="3" t="s">
        <v>757</v>
      </c>
    </row>
    <row r="13" spans="1:7" ht="34" x14ac:dyDescent="0.2">
      <c r="A13" s="3" t="s">
        <v>758</v>
      </c>
      <c r="B13" s="3" t="s">
        <v>759</v>
      </c>
      <c r="C13" s="3" t="s">
        <v>760</v>
      </c>
      <c r="D13" s="3" t="s">
        <v>761</v>
      </c>
      <c r="E13" s="3" t="s">
        <v>762</v>
      </c>
      <c r="F13" s="3" t="s">
        <v>602</v>
      </c>
      <c r="G13" s="3" t="s">
        <v>763</v>
      </c>
    </row>
    <row r="14" spans="1:7" x14ac:dyDescent="0.2">
      <c r="A14" s="3"/>
      <c r="B14" s="3"/>
      <c r="C14" s="3"/>
      <c r="D14" s="3"/>
      <c r="E14" s="3"/>
      <c r="F14" s="3"/>
      <c r="G14" s="3"/>
    </row>
    <row r="15" spans="1:7" x14ac:dyDescent="0.2">
      <c r="A15" s="3"/>
      <c r="B15" s="3"/>
      <c r="C15" s="3"/>
      <c r="D15" s="3"/>
      <c r="E15" s="3"/>
      <c r="F15" s="3"/>
      <c r="G15" s="3"/>
    </row>
    <row r="16" spans="1:7" ht="34" x14ac:dyDescent="0.2">
      <c r="A16" s="68" t="s">
        <v>764</v>
      </c>
      <c r="B16" s="68" t="s">
        <v>765</v>
      </c>
      <c r="C16" s="68" t="s">
        <v>766</v>
      </c>
      <c r="D16" s="68" t="s">
        <v>767</v>
      </c>
      <c r="E16" s="3"/>
      <c r="F16" s="3"/>
      <c r="G16" s="3"/>
    </row>
    <row r="17" spans="1:7" ht="34" x14ac:dyDescent="0.2">
      <c r="A17" s="3" t="s">
        <v>768</v>
      </c>
      <c r="B17" s="79">
        <v>0</v>
      </c>
      <c r="C17" s="3" t="s">
        <v>769</v>
      </c>
      <c r="D17" s="29">
        <f>B17*Inputs!$B$32+(1-B17)*Inputs!$B$33</f>
        <v>200</v>
      </c>
      <c r="E17" s="3"/>
      <c r="F17" s="3"/>
      <c r="G17" s="3"/>
    </row>
    <row r="18" spans="1:7" ht="34" x14ac:dyDescent="0.2">
      <c r="A18" s="3" t="s">
        <v>768</v>
      </c>
      <c r="B18" s="79">
        <v>0.1</v>
      </c>
      <c r="C18" s="3" t="s">
        <v>770</v>
      </c>
      <c r="D18" s="29">
        <f>B18*Inputs!$B$32+(1-B18)*Inputs!$B$33</f>
        <v>185.9</v>
      </c>
      <c r="E18" s="3"/>
      <c r="F18" s="3"/>
      <c r="G18" s="3"/>
    </row>
    <row r="19" spans="1:7" ht="34" x14ac:dyDescent="0.2">
      <c r="A19" s="3" t="s">
        <v>768</v>
      </c>
      <c r="B19" s="79">
        <v>0.2</v>
      </c>
      <c r="C19" s="3" t="s">
        <v>771</v>
      </c>
      <c r="D19" s="29">
        <f>B19*Inputs!$B$32+(1-B19)*Inputs!$B$33</f>
        <v>171.8</v>
      </c>
      <c r="E19" s="3"/>
      <c r="F19" s="3"/>
      <c r="G19" s="3"/>
    </row>
    <row r="20" spans="1:7" ht="34" x14ac:dyDescent="0.2">
      <c r="A20" s="3" t="s">
        <v>768</v>
      </c>
      <c r="B20" s="79">
        <v>0.25</v>
      </c>
      <c r="C20" s="3" t="s">
        <v>772</v>
      </c>
      <c r="D20" s="29">
        <f>B20*Inputs!$B$32+(1-B20)*Inputs!$B$33</f>
        <v>164.75</v>
      </c>
      <c r="E20" s="3"/>
      <c r="F20" s="3"/>
      <c r="G20" s="3"/>
    </row>
    <row r="21" spans="1:7" ht="34" x14ac:dyDescent="0.2">
      <c r="A21" s="3" t="s">
        <v>768</v>
      </c>
      <c r="B21" s="79">
        <v>0.3</v>
      </c>
      <c r="C21" s="3" t="s">
        <v>773</v>
      </c>
      <c r="D21" s="29">
        <f>B21*Inputs!$B$32+(1-B21)*Inputs!$B$33</f>
        <v>157.69999999999999</v>
      </c>
      <c r="E21" s="3"/>
      <c r="F21" s="3"/>
      <c r="G21" s="3"/>
    </row>
    <row r="22" spans="1:7" ht="34" x14ac:dyDescent="0.2">
      <c r="A22" s="3" t="s">
        <v>768</v>
      </c>
      <c r="B22" s="79">
        <v>0.5</v>
      </c>
      <c r="C22" s="3" t="s">
        <v>774</v>
      </c>
      <c r="D22" s="29">
        <f>B22*Inputs!$B$32+(1-B22)*Inputs!$B$33</f>
        <v>129.5</v>
      </c>
      <c r="E22" s="3"/>
      <c r="F22" s="3"/>
      <c r="G22" s="3"/>
    </row>
    <row r="23" spans="1:7" x14ac:dyDescent="0.2">
      <c r="A23" s="112" t="s">
        <v>775</v>
      </c>
      <c r="B23" s="112"/>
      <c r="C23" s="112"/>
      <c r="D23" s="112"/>
      <c r="E23" s="112"/>
      <c r="F23" s="112"/>
      <c r="G23" s="112"/>
    </row>
  </sheetData>
  <mergeCells count="2">
    <mergeCell ref="A1:G1"/>
    <mergeCell ref="A23:G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5"/>
  <sheetViews>
    <sheetView workbookViewId="0">
      <selection sqref="A1:F1"/>
    </sheetView>
  </sheetViews>
  <sheetFormatPr baseColWidth="10" defaultColWidth="8.83203125" defaultRowHeight="16" x14ac:dyDescent="0.2"/>
  <cols>
    <col min="1" max="1" width="24" customWidth="1"/>
    <col min="2" max="2" width="42" customWidth="1"/>
    <col min="3" max="3" width="45" customWidth="1"/>
    <col min="4" max="5" width="30" customWidth="1"/>
    <col min="6" max="6" width="32" customWidth="1"/>
  </cols>
  <sheetData>
    <row r="1" spans="1:6" ht="20" x14ac:dyDescent="0.25">
      <c r="A1" s="105" t="s">
        <v>776</v>
      </c>
      <c r="B1" s="105"/>
      <c r="C1" s="105"/>
      <c r="D1" s="105"/>
      <c r="E1" s="105"/>
      <c r="F1" s="105"/>
    </row>
    <row r="2" spans="1:6" x14ac:dyDescent="0.2">
      <c r="A2" s="3"/>
      <c r="B2" s="3"/>
      <c r="C2" s="3"/>
      <c r="D2" s="3"/>
      <c r="E2" s="3"/>
      <c r="F2" s="3"/>
    </row>
    <row r="3" spans="1:6" ht="17" x14ac:dyDescent="0.2">
      <c r="A3" s="68" t="s">
        <v>777</v>
      </c>
      <c r="B3" s="68" t="s">
        <v>778</v>
      </c>
      <c r="C3" s="68" t="s">
        <v>779</v>
      </c>
      <c r="D3" s="68" t="s">
        <v>780</v>
      </c>
      <c r="E3" s="68" t="s">
        <v>781</v>
      </c>
      <c r="F3" s="68" t="s">
        <v>782</v>
      </c>
    </row>
    <row r="4" spans="1:6" ht="34" x14ac:dyDescent="0.2">
      <c r="A4" s="3" t="s">
        <v>18</v>
      </c>
      <c r="B4" s="3" t="s">
        <v>783</v>
      </c>
      <c r="C4" s="3" t="s">
        <v>784</v>
      </c>
      <c r="D4" s="3" t="s">
        <v>785</v>
      </c>
      <c r="E4" s="3" t="s">
        <v>786</v>
      </c>
      <c r="F4" s="3" t="s">
        <v>787</v>
      </c>
    </row>
    <row r="5" spans="1:6" ht="34" x14ac:dyDescent="0.2">
      <c r="A5" s="3" t="s">
        <v>788</v>
      </c>
      <c r="B5" s="3" t="s">
        <v>789</v>
      </c>
      <c r="C5" s="3" t="s">
        <v>790</v>
      </c>
      <c r="D5" s="3" t="s">
        <v>791</v>
      </c>
      <c r="E5" s="3" t="s">
        <v>792</v>
      </c>
      <c r="F5" s="3" t="s">
        <v>793</v>
      </c>
    </row>
    <row r="6" spans="1:6" ht="34" x14ac:dyDescent="0.2">
      <c r="A6" s="3" t="s">
        <v>794</v>
      </c>
      <c r="B6" s="3" t="s">
        <v>795</v>
      </c>
      <c r="C6" s="3" t="s">
        <v>796</v>
      </c>
      <c r="D6" s="3" t="s">
        <v>797</v>
      </c>
      <c r="E6" s="3" t="s">
        <v>798</v>
      </c>
      <c r="F6" s="3" t="s">
        <v>799</v>
      </c>
    </row>
    <row r="7" spans="1:6" ht="17" x14ac:dyDescent="0.2">
      <c r="A7" s="3" t="s">
        <v>794</v>
      </c>
      <c r="B7" s="3" t="s">
        <v>800</v>
      </c>
      <c r="C7" s="3" t="s">
        <v>801</v>
      </c>
      <c r="D7" s="3" t="s">
        <v>802</v>
      </c>
      <c r="E7" s="3" t="s">
        <v>803</v>
      </c>
      <c r="F7" s="3" t="s">
        <v>804</v>
      </c>
    </row>
    <row r="8" spans="1:6" ht="34" x14ac:dyDescent="0.2">
      <c r="A8" s="3" t="s">
        <v>805</v>
      </c>
      <c r="B8" s="3" t="s">
        <v>806</v>
      </c>
      <c r="C8" s="3" t="s">
        <v>807</v>
      </c>
      <c r="D8" s="3" t="s">
        <v>808</v>
      </c>
      <c r="E8" s="3" t="s">
        <v>586</v>
      </c>
      <c r="F8" s="3" t="s">
        <v>809</v>
      </c>
    </row>
    <row r="9" spans="1:6" ht="17" x14ac:dyDescent="0.2">
      <c r="A9" s="3" t="s">
        <v>805</v>
      </c>
      <c r="B9" s="3" t="s">
        <v>810</v>
      </c>
      <c r="C9" s="3" t="s">
        <v>811</v>
      </c>
      <c r="D9" s="3" t="s">
        <v>812</v>
      </c>
      <c r="E9" s="3" t="s">
        <v>586</v>
      </c>
      <c r="F9" s="3" t="s">
        <v>813</v>
      </c>
    </row>
    <row r="10" spans="1:6" ht="34" x14ac:dyDescent="0.2">
      <c r="A10" s="3" t="s">
        <v>805</v>
      </c>
      <c r="B10" s="3" t="s">
        <v>814</v>
      </c>
      <c r="C10" s="3" t="s">
        <v>815</v>
      </c>
      <c r="D10" s="3" t="s">
        <v>816</v>
      </c>
      <c r="E10" s="3" t="s">
        <v>586</v>
      </c>
      <c r="F10" s="3" t="s">
        <v>817</v>
      </c>
    </row>
    <row r="11" spans="1:6" ht="34" x14ac:dyDescent="0.2">
      <c r="A11" s="3" t="s">
        <v>805</v>
      </c>
      <c r="B11" s="3" t="s">
        <v>111</v>
      </c>
      <c r="C11" s="3" t="s">
        <v>818</v>
      </c>
      <c r="D11" s="3" t="s">
        <v>819</v>
      </c>
      <c r="E11" s="3" t="s">
        <v>586</v>
      </c>
      <c r="F11" s="3" t="s">
        <v>820</v>
      </c>
    </row>
    <row r="12" spans="1:6" ht="17" x14ac:dyDescent="0.2">
      <c r="A12" s="3" t="s">
        <v>805</v>
      </c>
      <c r="B12" s="3" t="s">
        <v>821</v>
      </c>
      <c r="C12" s="3" t="s">
        <v>822</v>
      </c>
      <c r="D12" s="3" t="s">
        <v>823</v>
      </c>
      <c r="E12" s="3" t="s">
        <v>586</v>
      </c>
      <c r="F12" s="3" t="s">
        <v>824</v>
      </c>
    </row>
    <row r="13" spans="1:6" ht="34" x14ac:dyDescent="0.2">
      <c r="A13" s="3" t="s">
        <v>805</v>
      </c>
      <c r="B13" s="3" t="s">
        <v>825</v>
      </c>
      <c r="C13" s="3" t="s">
        <v>826</v>
      </c>
      <c r="D13" s="3" t="s">
        <v>827</v>
      </c>
      <c r="E13" s="3" t="s">
        <v>828</v>
      </c>
      <c r="F13" s="3" t="s">
        <v>829</v>
      </c>
    </row>
    <row r="14" spans="1:6" ht="34" x14ac:dyDescent="0.2">
      <c r="A14" s="3" t="s">
        <v>805</v>
      </c>
      <c r="B14" s="3" t="s">
        <v>830</v>
      </c>
      <c r="C14" s="3" t="s">
        <v>831</v>
      </c>
      <c r="D14" s="3" t="s">
        <v>832</v>
      </c>
      <c r="E14" s="3" t="s">
        <v>833</v>
      </c>
      <c r="F14" s="3" t="s">
        <v>388</v>
      </c>
    </row>
    <row r="15" spans="1:6" ht="17" x14ac:dyDescent="0.2">
      <c r="A15" s="3" t="s">
        <v>834</v>
      </c>
      <c r="B15" s="3" t="s">
        <v>835</v>
      </c>
      <c r="C15" s="3" t="s">
        <v>836</v>
      </c>
      <c r="D15" s="3" t="s">
        <v>837</v>
      </c>
      <c r="E15" s="3" t="s">
        <v>838</v>
      </c>
      <c r="F15" s="3" t="s">
        <v>839</v>
      </c>
    </row>
    <row r="16" spans="1:6" ht="17" x14ac:dyDescent="0.2">
      <c r="A16" s="3" t="s">
        <v>834</v>
      </c>
      <c r="B16" s="3" t="s">
        <v>840</v>
      </c>
      <c r="C16" s="3" t="s">
        <v>841</v>
      </c>
      <c r="D16" s="3" t="s">
        <v>837</v>
      </c>
      <c r="E16" s="3" t="s">
        <v>838</v>
      </c>
      <c r="F16" s="3" t="s">
        <v>43</v>
      </c>
    </row>
    <row r="17" spans="1:6" ht="17" x14ac:dyDescent="0.2">
      <c r="A17" s="3" t="s">
        <v>834</v>
      </c>
      <c r="B17" s="3" t="s">
        <v>842</v>
      </c>
      <c r="C17" s="3" t="s">
        <v>843</v>
      </c>
      <c r="D17" s="3" t="s">
        <v>844</v>
      </c>
      <c r="E17" s="3" t="s">
        <v>845</v>
      </c>
      <c r="F17" s="3" t="s">
        <v>846</v>
      </c>
    </row>
    <row r="18" spans="1:6" ht="34" x14ac:dyDescent="0.2">
      <c r="A18" s="3" t="s">
        <v>847</v>
      </c>
      <c r="B18" s="3" t="s">
        <v>848</v>
      </c>
      <c r="C18" s="3" t="s">
        <v>849</v>
      </c>
      <c r="D18" s="3" t="s">
        <v>850</v>
      </c>
      <c r="E18" s="3" t="s">
        <v>851</v>
      </c>
      <c r="F18" s="3" t="s">
        <v>852</v>
      </c>
    </row>
    <row r="19" spans="1:6" ht="17" x14ac:dyDescent="0.2">
      <c r="A19" s="3" t="s">
        <v>853</v>
      </c>
      <c r="B19" s="3" t="s">
        <v>854</v>
      </c>
      <c r="C19" s="3" t="s">
        <v>855</v>
      </c>
      <c r="D19" s="3" t="s">
        <v>856</v>
      </c>
      <c r="E19" s="3" t="s">
        <v>857</v>
      </c>
      <c r="F19" s="3" t="s">
        <v>858</v>
      </c>
    </row>
    <row r="20" spans="1:6" ht="34" x14ac:dyDescent="0.2">
      <c r="A20" s="3" t="s">
        <v>859</v>
      </c>
      <c r="B20" s="3" t="s">
        <v>860</v>
      </c>
      <c r="C20" s="3" t="s">
        <v>861</v>
      </c>
      <c r="D20" s="3" t="s">
        <v>862</v>
      </c>
      <c r="E20" s="3" t="s">
        <v>863</v>
      </c>
      <c r="F20" s="3" t="s">
        <v>864</v>
      </c>
    </row>
    <row r="21" spans="1:6" ht="34" x14ac:dyDescent="0.2">
      <c r="A21" s="3" t="s">
        <v>865</v>
      </c>
      <c r="B21" s="3" t="s">
        <v>866</v>
      </c>
      <c r="C21" s="3" t="s">
        <v>867</v>
      </c>
      <c r="D21" s="3" t="s">
        <v>868</v>
      </c>
      <c r="E21" s="3" t="s">
        <v>869</v>
      </c>
      <c r="F21" s="3" t="s">
        <v>870</v>
      </c>
    </row>
    <row r="22" spans="1:6" ht="17" x14ac:dyDescent="0.2">
      <c r="A22" s="3" t="s">
        <v>871</v>
      </c>
      <c r="B22" s="3" t="s">
        <v>872</v>
      </c>
      <c r="C22" s="3" t="s">
        <v>873</v>
      </c>
      <c r="D22" s="3" t="s">
        <v>874</v>
      </c>
      <c r="E22" s="3" t="s">
        <v>875</v>
      </c>
      <c r="F22" s="3" t="s">
        <v>876</v>
      </c>
    </row>
    <row r="23" spans="1:6" ht="17" x14ac:dyDescent="0.2">
      <c r="A23" s="3" t="s">
        <v>877</v>
      </c>
      <c r="B23" s="3" t="s">
        <v>872</v>
      </c>
      <c r="C23" s="3" t="s">
        <v>873</v>
      </c>
      <c r="D23" s="3" t="s">
        <v>878</v>
      </c>
      <c r="E23" s="3" t="s">
        <v>875</v>
      </c>
      <c r="F23" s="3" t="s">
        <v>876</v>
      </c>
    </row>
    <row r="24" spans="1:6" ht="34" x14ac:dyDescent="0.2">
      <c r="A24" s="3" t="s">
        <v>879</v>
      </c>
      <c r="B24" s="3" t="s">
        <v>880</v>
      </c>
      <c r="C24" s="3" t="s">
        <v>881</v>
      </c>
      <c r="D24" s="3" t="s">
        <v>882</v>
      </c>
      <c r="E24" s="3" t="s">
        <v>883</v>
      </c>
      <c r="F24" s="3" t="s">
        <v>884</v>
      </c>
    </row>
    <row r="25" spans="1:6" ht="17" x14ac:dyDescent="0.2">
      <c r="A25" s="3" t="s">
        <v>879</v>
      </c>
      <c r="B25" s="3" t="s">
        <v>885</v>
      </c>
      <c r="C25" s="3" t="s">
        <v>873</v>
      </c>
      <c r="D25" s="3" t="s">
        <v>886</v>
      </c>
      <c r="E25" s="3" t="s">
        <v>875</v>
      </c>
      <c r="F25" s="3" t="s">
        <v>876</v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9"/>
  <sheetViews>
    <sheetView tabSelected="1" workbookViewId="0">
      <selection sqref="A1:H1"/>
    </sheetView>
  </sheetViews>
  <sheetFormatPr baseColWidth="10" defaultColWidth="8.83203125" defaultRowHeight="16" x14ac:dyDescent="0.2"/>
  <cols>
    <col min="1" max="1" width="24" customWidth="1"/>
    <col min="2" max="2" width="30" customWidth="1"/>
    <col min="3" max="3" width="45" customWidth="1"/>
    <col min="4" max="4" width="34" customWidth="1"/>
    <col min="5" max="5" width="16" customWidth="1"/>
    <col min="6" max="7" width="28" customWidth="1"/>
    <col min="8" max="8" width="45" customWidth="1"/>
  </cols>
  <sheetData>
    <row r="1" spans="1:8" ht="20" x14ac:dyDescent="0.25">
      <c r="A1" s="114" t="s">
        <v>887</v>
      </c>
      <c r="B1" s="114"/>
      <c r="C1" s="114"/>
      <c r="D1" s="114"/>
      <c r="E1" s="114"/>
      <c r="F1" s="114"/>
      <c r="G1" s="114"/>
      <c r="H1" s="114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ht="17" x14ac:dyDescent="0.2">
      <c r="A3" s="102" t="s">
        <v>888</v>
      </c>
      <c r="B3" s="102" t="s">
        <v>889</v>
      </c>
      <c r="C3" s="102" t="s">
        <v>890</v>
      </c>
      <c r="D3" s="102" t="s">
        <v>891</v>
      </c>
      <c r="E3" s="102" t="s">
        <v>892</v>
      </c>
      <c r="F3" s="102" t="s">
        <v>893</v>
      </c>
      <c r="G3" s="102" t="s">
        <v>894</v>
      </c>
      <c r="H3" s="102" t="s">
        <v>707</v>
      </c>
    </row>
    <row r="4" spans="1:8" ht="17" x14ac:dyDescent="0.2">
      <c r="A4" s="3" t="s">
        <v>895</v>
      </c>
      <c r="B4" s="3" t="s">
        <v>896</v>
      </c>
      <c r="C4" s="3" t="s">
        <v>897</v>
      </c>
      <c r="D4" s="3" t="s">
        <v>898</v>
      </c>
      <c r="E4" s="3" t="s">
        <v>899</v>
      </c>
      <c r="F4" s="3" t="s">
        <v>900</v>
      </c>
      <c r="G4" s="3" t="s">
        <v>901</v>
      </c>
      <c r="H4" s="3" t="s">
        <v>902</v>
      </c>
    </row>
    <row r="5" spans="1:8" ht="34" x14ac:dyDescent="0.2">
      <c r="A5" s="3" t="s">
        <v>895</v>
      </c>
      <c r="B5" s="3" t="s">
        <v>804</v>
      </c>
      <c r="C5" s="3" t="s">
        <v>903</v>
      </c>
      <c r="D5" s="3" t="s">
        <v>643</v>
      </c>
      <c r="E5" s="3" t="s">
        <v>899</v>
      </c>
      <c r="F5" s="3" t="s">
        <v>900</v>
      </c>
      <c r="G5" s="3" t="s">
        <v>904</v>
      </c>
      <c r="H5" s="3" t="s">
        <v>905</v>
      </c>
    </row>
    <row r="6" spans="1:8" ht="34" x14ac:dyDescent="0.2">
      <c r="A6" s="3" t="s">
        <v>895</v>
      </c>
      <c r="B6" s="3" t="s">
        <v>906</v>
      </c>
      <c r="C6" s="3" t="s">
        <v>907</v>
      </c>
      <c r="D6" s="3" t="s">
        <v>353</v>
      </c>
      <c r="E6" s="3" t="s">
        <v>899</v>
      </c>
      <c r="F6" s="3" t="s">
        <v>900</v>
      </c>
      <c r="G6" s="3" t="s">
        <v>904</v>
      </c>
      <c r="H6" s="3" t="s">
        <v>908</v>
      </c>
    </row>
    <row r="7" spans="1:8" ht="34" x14ac:dyDescent="0.2">
      <c r="A7" s="3" t="s">
        <v>895</v>
      </c>
      <c r="B7" s="3" t="s">
        <v>909</v>
      </c>
      <c r="C7" s="3" t="s">
        <v>910</v>
      </c>
      <c r="D7" s="3" t="s">
        <v>660</v>
      </c>
      <c r="E7" s="3" t="s">
        <v>899</v>
      </c>
      <c r="F7" s="3" t="s">
        <v>911</v>
      </c>
      <c r="G7" s="3" t="s">
        <v>912</v>
      </c>
      <c r="H7" s="3" t="s">
        <v>913</v>
      </c>
    </row>
    <row r="8" spans="1:8" ht="34" x14ac:dyDescent="0.2">
      <c r="A8" s="3" t="s">
        <v>895</v>
      </c>
      <c r="B8" s="3" t="s">
        <v>914</v>
      </c>
      <c r="C8" s="3" t="s">
        <v>915</v>
      </c>
      <c r="D8" s="3" t="s">
        <v>747</v>
      </c>
      <c r="E8" s="3" t="s">
        <v>916</v>
      </c>
      <c r="F8" s="3" t="s">
        <v>917</v>
      </c>
      <c r="G8" s="3" t="s">
        <v>918</v>
      </c>
      <c r="H8" s="3" t="s">
        <v>919</v>
      </c>
    </row>
    <row r="9" spans="1:8" ht="34" x14ac:dyDescent="0.2">
      <c r="A9" s="3" t="s">
        <v>920</v>
      </c>
      <c r="B9" s="3" t="s">
        <v>921</v>
      </c>
      <c r="C9" s="3" t="s">
        <v>922</v>
      </c>
      <c r="D9" s="3" t="s">
        <v>923</v>
      </c>
      <c r="E9" s="3" t="s">
        <v>924</v>
      </c>
      <c r="F9" s="3" t="s">
        <v>925</v>
      </c>
      <c r="G9" s="3" t="s">
        <v>926</v>
      </c>
      <c r="H9" s="3" t="s">
        <v>927</v>
      </c>
    </row>
    <row r="10" spans="1:8" ht="34" x14ac:dyDescent="0.2">
      <c r="A10" s="3" t="s">
        <v>920</v>
      </c>
      <c r="B10" s="3" t="s">
        <v>928</v>
      </c>
      <c r="C10" s="3" t="s">
        <v>929</v>
      </c>
      <c r="D10" s="3" t="s">
        <v>923</v>
      </c>
      <c r="E10" s="3" t="s">
        <v>924</v>
      </c>
      <c r="F10" s="3" t="s">
        <v>930</v>
      </c>
      <c r="G10" s="3" t="s">
        <v>926</v>
      </c>
      <c r="H10" s="3" t="s">
        <v>931</v>
      </c>
    </row>
    <row r="11" spans="1:8" ht="17" x14ac:dyDescent="0.2">
      <c r="A11" s="3" t="s">
        <v>920</v>
      </c>
      <c r="B11" s="3" t="s">
        <v>932</v>
      </c>
      <c r="C11" s="3" t="s">
        <v>933</v>
      </c>
      <c r="D11" s="3" t="s">
        <v>923</v>
      </c>
      <c r="E11" s="3" t="s">
        <v>934</v>
      </c>
      <c r="F11" s="3" t="s">
        <v>935</v>
      </c>
      <c r="G11" s="3" t="s">
        <v>936</v>
      </c>
      <c r="H11" s="3" t="s">
        <v>937</v>
      </c>
    </row>
    <row r="12" spans="1:8" ht="34" x14ac:dyDescent="0.2">
      <c r="A12" s="3" t="s">
        <v>938</v>
      </c>
      <c r="B12" s="3" t="s">
        <v>939</v>
      </c>
      <c r="C12" s="3" t="s">
        <v>940</v>
      </c>
      <c r="D12" s="3" t="s">
        <v>941</v>
      </c>
      <c r="E12" s="3" t="s">
        <v>942</v>
      </c>
      <c r="F12" s="3" t="s">
        <v>943</v>
      </c>
      <c r="G12" s="3" t="s">
        <v>926</v>
      </c>
      <c r="H12" s="3" t="s">
        <v>944</v>
      </c>
    </row>
    <row r="13" spans="1:8" ht="34" x14ac:dyDescent="0.2">
      <c r="A13" s="3" t="s">
        <v>938</v>
      </c>
      <c r="B13" s="3" t="s">
        <v>945</v>
      </c>
      <c r="C13" s="3" t="s">
        <v>946</v>
      </c>
      <c r="D13" s="3" t="s">
        <v>947</v>
      </c>
      <c r="E13" s="3" t="s">
        <v>948</v>
      </c>
      <c r="F13" s="3" t="s">
        <v>949</v>
      </c>
      <c r="G13" s="3" t="s">
        <v>950</v>
      </c>
      <c r="H13" s="3" t="s">
        <v>951</v>
      </c>
    </row>
    <row r="14" spans="1:8" ht="34" x14ac:dyDescent="0.2">
      <c r="A14" s="3" t="s">
        <v>952</v>
      </c>
      <c r="B14" s="3" t="s">
        <v>953</v>
      </c>
      <c r="C14" s="3" t="s">
        <v>954</v>
      </c>
      <c r="D14" s="3" t="s">
        <v>955</v>
      </c>
      <c r="E14" s="3" t="s">
        <v>899</v>
      </c>
      <c r="F14" s="3" t="s">
        <v>956</v>
      </c>
      <c r="G14" s="3" t="s">
        <v>957</v>
      </c>
      <c r="H14" s="3" t="s">
        <v>958</v>
      </c>
    </row>
    <row r="15" spans="1:8" ht="34" x14ac:dyDescent="0.2">
      <c r="A15" s="3" t="s">
        <v>952</v>
      </c>
      <c r="B15" s="3" t="s">
        <v>959</v>
      </c>
      <c r="C15" s="3" t="s">
        <v>960</v>
      </c>
      <c r="D15" s="3" t="s">
        <v>955</v>
      </c>
      <c r="E15" s="3" t="s">
        <v>899</v>
      </c>
      <c r="F15" s="3" t="s">
        <v>961</v>
      </c>
      <c r="G15" s="3" t="s">
        <v>962</v>
      </c>
      <c r="H15" s="3" t="s">
        <v>963</v>
      </c>
    </row>
    <row r="16" spans="1:8" ht="17" x14ac:dyDescent="0.2">
      <c r="A16" s="3" t="s">
        <v>952</v>
      </c>
      <c r="B16" s="3" t="s">
        <v>964</v>
      </c>
      <c r="C16" s="3" t="s">
        <v>965</v>
      </c>
      <c r="D16" s="3" t="s">
        <v>966</v>
      </c>
      <c r="E16" s="3" t="s">
        <v>899</v>
      </c>
      <c r="F16" s="3" t="s">
        <v>967</v>
      </c>
      <c r="G16" s="3" t="s">
        <v>968</v>
      </c>
      <c r="H16" s="3" t="s">
        <v>969</v>
      </c>
    </row>
    <row r="17" spans="1:8" ht="34" x14ac:dyDescent="0.2">
      <c r="A17" s="3" t="s">
        <v>952</v>
      </c>
      <c r="B17" s="3" t="s">
        <v>970</v>
      </c>
      <c r="C17" s="3" t="s">
        <v>971</v>
      </c>
      <c r="D17" s="3" t="s">
        <v>126</v>
      </c>
      <c r="E17" s="3" t="s">
        <v>899</v>
      </c>
      <c r="F17" s="3" t="s">
        <v>972</v>
      </c>
      <c r="G17" s="3" t="s">
        <v>973</v>
      </c>
      <c r="H17" s="3" t="s">
        <v>974</v>
      </c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ht="34" x14ac:dyDescent="0.2">
      <c r="A20" s="102" t="s">
        <v>975</v>
      </c>
      <c r="B20" s="102" t="s">
        <v>766</v>
      </c>
      <c r="C20" s="102" t="s">
        <v>408</v>
      </c>
      <c r="D20" s="102" t="s">
        <v>573</v>
      </c>
      <c r="E20" s="3"/>
      <c r="F20" s="3"/>
      <c r="G20" s="3"/>
      <c r="H20" s="3"/>
    </row>
    <row r="21" spans="1:8" ht="34" x14ac:dyDescent="0.2">
      <c r="A21" s="3" t="s">
        <v>976</v>
      </c>
      <c r="B21" s="3" t="s">
        <v>977</v>
      </c>
      <c r="C21" s="3" t="s">
        <v>978</v>
      </c>
      <c r="D21" s="3" t="s">
        <v>979</v>
      </c>
      <c r="E21" s="3"/>
      <c r="F21" s="3"/>
      <c r="G21" s="3"/>
      <c r="H21" s="3"/>
    </row>
    <row r="22" spans="1:8" ht="51" x14ac:dyDescent="0.2">
      <c r="A22" s="3" t="s">
        <v>980</v>
      </c>
      <c r="B22" s="3" t="s">
        <v>981</v>
      </c>
      <c r="C22" s="3" t="s">
        <v>982</v>
      </c>
      <c r="D22" s="3" t="s">
        <v>983</v>
      </c>
      <c r="E22" s="3"/>
      <c r="F22" s="3"/>
      <c r="G22" s="3"/>
      <c r="H22" s="3"/>
    </row>
    <row r="23" spans="1:8" ht="34" x14ac:dyDescent="0.2">
      <c r="A23" s="3" t="s">
        <v>984</v>
      </c>
      <c r="B23" s="3" t="s">
        <v>985</v>
      </c>
      <c r="C23" s="3" t="s">
        <v>986</v>
      </c>
      <c r="D23" s="3" t="s">
        <v>987</v>
      </c>
      <c r="E23" s="3"/>
      <c r="F23" s="3"/>
      <c r="G23" s="3"/>
      <c r="H23" s="3"/>
    </row>
    <row r="24" spans="1:8" ht="34" x14ac:dyDescent="0.2">
      <c r="A24" s="3" t="s">
        <v>988</v>
      </c>
      <c r="B24" s="3" t="s">
        <v>989</v>
      </c>
      <c r="C24" s="3" t="s">
        <v>990</v>
      </c>
      <c r="D24" s="3" t="s">
        <v>987</v>
      </c>
      <c r="E24" s="3"/>
      <c r="F24" s="3"/>
      <c r="G24" s="3"/>
      <c r="H24" s="3"/>
    </row>
    <row r="25" spans="1:8" ht="51" x14ac:dyDescent="0.2">
      <c r="A25" s="3" t="s">
        <v>991</v>
      </c>
      <c r="B25" s="3" t="s">
        <v>992</v>
      </c>
      <c r="C25" s="3" t="s">
        <v>993</v>
      </c>
      <c r="D25" s="3" t="s">
        <v>994</v>
      </c>
      <c r="E25" s="3"/>
      <c r="F25" s="3"/>
      <c r="G25" s="3"/>
      <c r="H25" s="3"/>
    </row>
    <row r="26" spans="1:8" x14ac:dyDescent="0.2">
      <c r="A26" s="3"/>
      <c r="B26" s="3"/>
      <c r="C26" s="3"/>
      <c r="D26" s="3"/>
      <c r="E26" s="3"/>
      <c r="F26" s="3"/>
      <c r="G26" s="3"/>
      <c r="H26" s="3"/>
    </row>
    <row r="27" spans="1:8" x14ac:dyDescent="0.2">
      <c r="A27" s="3"/>
      <c r="B27" s="3"/>
      <c r="C27" s="3"/>
      <c r="D27" s="3"/>
      <c r="E27" s="3"/>
      <c r="F27" s="3"/>
      <c r="G27" s="3"/>
      <c r="H27" s="3"/>
    </row>
    <row r="28" spans="1:8" ht="17" x14ac:dyDescent="0.2">
      <c r="A28" s="102" t="s">
        <v>995</v>
      </c>
      <c r="B28" s="102" t="s">
        <v>996</v>
      </c>
      <c r="C28" s="102" t="s">
        <v>997</v>
      </c>
      <c r="D28" s="102" t="s">
        <v>998</v>
      </c>
      <c r="E28" s="3"/>
      <c r="F28" s="3"/>
      <c r="G28" s="3"/>
      <c r="H28" s="3"/>
    </row>
    <row r="29" spans="1:8" ht="17" x14ac:dyDescent="0.2">
      <c r="A29" s="3" t="s">
        <v>999</v>
      </c>
      <c r="B29" s="3" t="s">
        <v>1000</v>
      </c>
      <c r="C29" s="3" t="s">
        <v>1001</v>
      </c>
      <c r="D29" s="3" t="s">
        <v>1002</v>
      </c>
      <c r="E29" s="3"/>
      <c r="F29" s="3"/>
      <c r="G29" s="3"/>
      <c r="H29" s="3"/>
    </row>
    <row r="30" spans="1:8" ht="17" x14ac:dyDescent="0.2">
      <c r="A30" s="3" t="s">
        <v>1003</v>
      </c>
      <c r="B30" s="3" t="s">
        <v>1004</v>
      </c>
      <c r="C30" s="3" t="s">
        <v>1005</v>
      </c>
      <c r="D30" s="3" t="s">
        <v>1006</v>
      </c>
      <c r="E30" s="3"/>
      <c r="F30" s="3"/>
      <c r="G30" s="3"/>
      <c r="H30" s="3"/>
    </row>
    <row r="31" spans="1:8" ht="34" x14ac:dyDescent="0.2">
      <c r="A31" s="3" t="s">
        <v>1007</v>
      </c>
      <c r="B31" s="3" t="s">
        <v>1008</v>
      </c>
      <c r="C31" s="3" t="s">
        <v>1009</v>
      </c>
      <c r="D31" s="3" t="s">
        <v>1010</v>
      </c>
      <c r="E31" s="3"/>
      <c r="F31" s="3"/>
      <c r="G31" s="3"/>
      <c r="H31" s="3"/>
    </row>
    <row r="32" spans="1:8" ht="17" x14ac:dyDescent="0.2">
      <c r="A32" s="3" t="s">
        <v>1011</v>
      </c>
      <c r="B32" s="3" t="s">
        <v>1012</v>
      </c>
      <c r="C32" s="3" t="s">
        <v>1013</v>
      </c>
      <c r="D32" s="3" t="s">
        <v>1014</v>
      </c>
      <c r="E32" s="3"/>
      <c r="F32" s="3"/>
      <c r="G32" s="3"/>
      <c r="H32" s="3"/>
    </row>
    <row r="33" spans="1:8" ht="17" x14ac:dyDescent="0.2">
      <c r="A33" s="3" t="s">
        <v>1015</v>
      </c>
      <c r="B33" s="3" t="s">
        <v>1016</v>
      </c>
      <c r="C33" s="3" t="s">
        <v>1017</v>
      </c>
      <c r="D33" s="3" t="s">
        <v>1018</v>
      </c>
      <c r="E33" s="3"/>
      <c r="F33" s="3"/>
      <c r="G33" s="3"/>
      <c r="H33" s="3"/>
    </row>
    <row r="34" spans="1:8" ht="17" x14ac:dyDescent="0.2">
      <c r="A34" s="3" t="s">
        <v>1019</v>
      </c>
      <c r="B34" s="3" t="s">
        <v>1020</v>
      </c>
      <c r="C34" s="3" t="s">
        <v>1017</v>
      </c>
      <c r="D34" s="3" t="s">
        <v>1021</v>
      </c>
      <c r="E34" s="3"/>
      <c r="F34" s="3"/>
      <c r="G34" s="3"/>
      <c r="H34" s="3"/>
    </row>
    <row r="35" spans="1:8" ht="34" x14ac:dyDescent="0.2">
      <c r="A35" s="3" t="s">
        <v>1022</v>
      </c>
      <c r="B35" s="3" t="s">
        <v>1023</v>
      </c>
      <c r="C35" s="3" t="s">
        <v>1024</v>
      </c>
      <c r="D35" s="3" t="s">
        <v>1025</v>
      </c>
      <c r="E35" s="3"/>
      <c r="F35" s="3"/>
      <c r="G35" s="3"/>
      <c r="H35" s="3"/>
    </row>
    <row r="36" spans="1:8" ht="17" x14ac:dyDescent="0.2">
      <c r="A36" s="3" t="s">
        <v>1026</v>
      </c>
      <c r="B36" s="3" t="s">
        <v>1027</v>
      </c>
      <c r="C36" s="3" t="s">
        <v>1028</v>
      </c>
      <c r="D36" s="3" t="s">
        <v>1029</v>
      </c>
      <c r="E36" s="3"/>
      <c r="F36" s="3"/>
      <c r="G36" s="3"/>
      <c r="H36" s="3"/>
    </row>
    <row r="37" spans="1:8" ht="17" x14ac:dyDescent="0.2">
      <c r="A37" s="3" t="s">
        <v>1030</v>
      </c>
      <c r="B37" s="3" t="s">
        <v>1031</v>
      </c>
      <c r="C37" s="3" t="s">
        <v>1032</v>
      </c>
      <c r="D37" s="3" t="s">
        <v>1033</v>
      </c>
      <c r="E37" s="3"/>
      <c r="F37" s="3"/>
      <c r="G37" s="3"/>
      <c r="H37" s="3"/>
    </row>
    <row r="38" spans="1:8" ht="34" x14ac:dyDescent="0.2">
      <c r="A38" s="3" t="s">
        <v>1034</v>
      </c>
      <c r="B38" s="3" t="s">
        <v>1035</v>
      </c>
      <c r="C38" s="3" t="s">
        <v>1036</v>
      </c>
      <c r="D38" s="3" t="s">
        <v>1037</v>
      </c>
      <c r="E38" s="3"/>
      <c r="F38" s="3"/>
      <c r="G38" s="3"/>
      <c r="H38" s="3"/>
    </row>
    <row r="39" spans="1:8" ht="34" x14ac:dyDescent="0.2">
      <c r="A39" s="3" t="s">
        <v>1038</v>
      </c>
      <c r="B39" s="3" t="s">
        <v>1039</v>
      </c>
      <c r="C39" s="3" t="s">
        <v>1040</v>
      </c>
      <c r="D39" s="3" t="s">
        <v>1041</v>
      </c>
      <c r="E39" s="3"/>
      <c r="F39" s="3"/>
      <c r="G39" s="3"/>
      <c r="H39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Production</vt:lpstr>
      <vt:lpstr>Targets</vt:lpstr>
      <vt:lpstr>Alaska Report</vt:lpstr>
      <vt:lpstr>Alaska Base</vt:lpstr>
      <vt:lpstr>EIA_AEO</vt:lpstr>
      <vt:lpstr>EPA_SAF</vt:lpstr>
      <vt:lpstr>EPA_SAF_PIV</vt:lpstr>
      <vt:lpstr>Inputs</vt:lpstr>
      <vt:lpstr>Model</vt:lpstr>
      <vt:lpstr>Outputs</vt:lpstr>
      <vt:lpstr>Dashboard</vt:lpstr>
      <vt:lpstr>SAF Supply</vt:lpstr>
      <vt:lpstr>Capital Allocation</vt:lpstr>
      <vt:lpstr>FAA Forecast</vt:lpstr>
      <vt:lpstr>Carbon Markets</vt:lpstr>
      <vt:lpstr>Data Map</vt:lpstr>
      <vt:lpstr>Decisions</vt:lpstr>
      <vt:lpstr>Unused Data</vt:lpstr>
      <vt:lpstr>App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Mack</cp:lastModifiedBy>
  <dcterms:created xsi:type="dcterms:W3CDTF">2026-09-15T06:51:27Z</dcterms:created>
  <dcterms:modified xsi:type="dcterms:W3CDTF">2026-09-15T06:51:27Z</dcterms:modified>
</cp:coreProperties>
</file>